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lizador\Documents\CTESP\4semestre\LP2\ProjetoTesteLP2\TrabalhoTesteLP2\"/>
    </mc:Choice>
  </mc:AlternateContent>
  <xr:revisionPtr revIDLastSave="0" documentId="8_{7DC74CE1-F1E8-4357-A95F-DBD58EF78C1F}" xr6:coauthVersionLast="47" xr6:coauthVersionMax="47" xr10:uidLastSave="{00000000-0000-0000-0000-000000000000}"/>
  <bookViews>
    <workbookView xWindow="-108" yWindow="-108" windowWidth="23256" windowHeight="12456" activeTab="1" xr2:uid="{17050BBC-8C72-4C7C-BB9E-52ED50A4B6E1}"/>
  </bookViews>
  <sheets>
    <sheet name="Menus" sheetId="1" r:id="rId1"/>
    <sheet name="Utilizadores" sheetId="2" r:id="rId2"/>
    <sheet name="Escola" sheetId="3" r:id="rId3"/>
  </sheets>
  <calcPr calcId="18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0" i="3" l="1"/>
  <c r="H32" i="3"/>
  <c r="H28" i="3"/>
  <c r="H26" i="3"/>
  <c r="H25" i="3"/>
  <c r="H24" i="3"/>
  <c r="H23" i="3"/>
  <c r="H22" i="3"/>
  <c r="H20" i="3"/>
  <c r="H18" i="3"/>
  <c r="H17" i="3"/>
  <c r="H15" i="3"/>
  <c r="H13" i="3"/>
  <c r="H11" i="3"/>
  <c r="H10" i="3"/>
  <c r="H8" i="3"/>
  <c r="H7" i="3"/>
  <c r="H6" i="3"/>
  <c r="H4" i="3"/>
</calcChain>
</file>

<file path=xl/sharedStrings.xml><?xml version="1.0" encoding="utf-8"?>
<sst xmlns="http://schemas.openxmlformats.org/spreadsheetml/2006/main" count="365" uniqueCount="241">
  <si>
    <t>1 - Adicionar Departamento</t>
  </si>
  <si>
    <t>2 - Alterar Departamento</t>
  </si>
  <si>
    <t>0 - Recuar</t>
  </si>
  <si>
    <t>1 - Adicionar Curso</t>
  </si>
  <si>
    <t>2 - Alterar Curso</t>
  </si>
  <si>
    <t>2 - Associar UC Existente a outro Curso</t>
  </si>
  <si>
    <t>3 - Alterar Unidade Curricular</t>
  </si>
  <si>
    <t>1 - Adicionar Estudante</t>
  </si>
  <si>
    <t>1 - Adicionar Docente</t>
  </si>
  <si>
    <t>1 - Adicionar Gestor</t>
  </si>
  <si>
    <t>Gestor</t>
  </si>
  <si>
    <t>backoffice@issmf.ipp.pt</t>
  </si>
  <si>
    <t>admin123</t>
  </si>
  <si>
    <t>--- LISTA DE CURSOS ---</t>
  </si>
  <si>
    <t>--- LISTA DE DEPARTAMENTOS ---</t>
  </si>
  <si>
    <t>backoffice</t>
  </si>
  <si>
    <t>Docente</t>
  </si>
  <si>
    <t>Professor Abel</t>
  </si>
  <si>
    <t>Faro</t>
  </si>
  <si>
    <t>Professora Ana</t>
  </si>
  <si>
    <t>Professor Rui</t>
  </si>
  <si>
    <t>Viseu</t>
  </si>
  <si>
    <t>Lisboa</t>
  </si>
  <si>
    <t>ATIVO</t>
  </si>
  <si>
    <t>INATIVO</t>
  </si>
  <si>
    <t>1º</t>
  </si>
  <si>
    <t>2º</t>
  </si>
  <si>
    <t>Avaliações</t>
  </si>
  <si>
    <t>--- LISTA DE UCS ---</t>
  </si>
  <si>
    <t>Ano</t>
  </si>
  <si>
    <t>Professor Carlos</t>
  </si>
  <si>
    <t>Maceda</t>
  </si>
  <si>
    <t>[ATIVO] EST1 : Estruturas 1</t>
  </si>
  <si>
    <t>[ATIVO] EM1 : Engenharia dos Materiais 1</t>
  </si>
  <si>
    <t>[ATIVO] EST2 : Estruturas 2</t>
  </si>
  <si>
    <t>3º</t>
  </si>
  <si>
    <t>Professor Luis</t>
  </si>
  <si>
    <t>Gondomar</t>
  </si>
  <si>
    <t>Espinho</t>
  </si>
  <si>
    <t>Professor Guedes</t>
  </si>
  <si>
    <t>LEM</t>
  </si>
  <si>
    <t>LEE</t>
  </si>
  <si>
    <t>LEC</t>
  </si>
  <si>
    <t>[ATIVO] CIR : Circuitos</t>
  </si>
  <si>
    <t>[ATIVO] ELE : Eletromagnetismo</t>
  </si>
  <si>
    <t>backoffice_ovar@issmf.ipp.pt</t>
  </si>
  <si>
    <t>1 - Efetuar Login</t>
  </si>
  <si>
    <t>2 - Auto-Inscrição Estudante</t>
  </si>
  <si>
    <t>0 - Encerrar Sistema</t>
  </si>
  <si>
    <t>0 - Sair (Logout)</t>
  </si>
  <si>
    <t>3 - Listar Todos os Departamentos</t>
  </si>
  <si>
    <t>4 - Alternar Estado (Ativo/Inativo)</t>
  </si>
  <si>
    <t>5 - Alternar Estado (Ativo/Inativo)</t>
  </si>
  <si>
    <t>1 - Adicionar Unidade Curricular</t>
  </si>
  <si>
    <t>4 - Listar Todas as Unidades Curriculares</t>
  </si>
  <si>
    <t>6 - Remover Unidade Curricular de Curso</t>
  </si>
  <si>
    <t>2 - Atualizar Ficha do Estudante</t>
  </si>
  <si>
    <t>2 - Atualizar Ficha do Docente</t>
  </si>
  <si>
    <t>2 - Alterar Gestor para Inativo</t>
  </si>
  <si>
    <t>3 - Listar Todos os Gestores</t>
  </si>
  <si>
    <t>Ovar</t>
  </si>
  <si>
    <t>Brandão</t>
  </si>
  <si>
    <t>backoffice_brandão@issmf.ipp.pt</t>
  </si>
  <si>
    <t>Afonso Henriques Moreira</t>
  </si>
  <si>
    <t>Guimarães</t>
  </si>
  <si>
    <t>Beatriz Sofia Antunes</t>
  </si>
  <si>
    <t>Coimbra</t>
  </si>
  <si>
    <t>Daniela Filipa Pires</t>
  </si>
  <si>
    <t>Eduardo Jorge Mendes</t>
  </si>
  <si>
    <t>Braga</t>
  </si>
  <si>
    <t>Frederico José Santos</t>
  </si>
  <si>
    <t>Gabriela Maria Rocha</t>
  </si>
  <si>
    <t>Porto</t>
  </si>
  <si>
    <t>Hugo Miguel Ferreira</t>
  </si>
  <si>
    <t>Inês Margarida Costa</t>
  </si>
  <si>
    <t>Setúbal</t>
  </si>
  <si>
    <t>João Pedro Oliveira</t>
  </si>
  <si>
    <t>Évora</t>
  </si>
  <si>
    <t>Leonor Clara Gomes</t>
  </si>
  <si>
    <t>Bragança</t>
  </si>
  <si>
    <t>Manuel António Sousa</t>
  </si>
  <si>
    <t>Leiria</t>
  </si>
  <si>
    <t>Nádia Patrícia Lima</t>
  </si>
  <si>
    <t>Funchal</t>
  </si>
  <si>
    <t>Pedro Rafael Couto</t>
  </si>
  <si>
    <t>Portimão</t>
  </si>
  <si>
    <t>Rita Alexandra Neves</t>
  </si>
  <si>
    <t>Chaves</t>
  </si>
  <si>
    <t>Estudante</t>
  </si>
  <si>
    <t>20260001@issmf.ipp.pt</t>
  </si>
  <si>
    <t>20260002@issmf.ipp.pt</t>
  </si>
  <si>
    <t>20260003@issmf.ipp.pt</t>
  </si>
  <si>
    <t>20260004@issmf.ipp.pt</t>
  </si>
  <si>
    <t>20260005@issmf.ipp.pt</t>
  </si>
  <si>
    <t>20260006@issmf.ipp.pt</t>
  </si>
  <si>
    <t>20260007@issmf.ipp.pt</t>
  </si>
  <si>
    <t>[ATIVO] SIE : Sistemas de Energia</t>
  </si>
  <si>
    <t>[ATIVO] LEC - Licenciatura em Engenharia Civil</t>
  </si>
  <si>
    <t>[INATIVO] LEN - Licenciatura em Engenharia Nuclear</t>
  </si>
  <si>
    <t>[ATIVO] DES : Desenho Técnico</t>
  </si>
  <si>
    <t>Paços de Brandão</t>
  </si>
  <si>
    <t>1220492@isep.ipp.pt</t>
  </si>
  <si>
    <t>Professor Renato</t>
  </si>
  <si>
    <t>Matosinhos</t>
  </si>
  <si>
    <t>[ATIVO] PRO1 : Programação 1</t>
  </si>
  <si>
    <t>[ATIVO] PRO2 : Programação 2</t>
  </si>
  <si>
    <t>Campus Central</t>
  </si>
  <si>
    <t>19-05-1985</t>
  </si>
  <si>
    <t>27-02-1984</t>
  </si>
  <si>
    <t>11-10-1962</t>
  </si>
  <si>
    <t>07-03-1985</t>
  </si>
  <si>
    <t>15-09-1991</t>
  </si>
  <si>
    <t>21-11-1983</t>
  </si>
  <si>
    <t>21-11-1988</t>
  </si>
  <si>
    <t>25-07-2003</t>
  </si>
  <si>
    <t>12-03-2004</t>
  </si>
  <si>
    <t>05-11-2002</t>
  </si>
  <si>
    <t>18-01-2005</t>
  </si>
  <si>
    <t>30-09-2001</t>
  </si>
  <si>
    <t>14-06-2004</t>
  </si>
  <si>
    <t>08-04-2002</t>
  </si>
  <si>
    <t>19-05-2005</t>
  </si>
  <si>
    <t>27-02-2004</t>
  </si>
  <si>
    <t>11-10-2002</t>
  </si>
  <si>
    <t>07-03-2005</t>
  </si>
  <si>
    <t>15-09-2001</t>
  </si>
  <si>
    <t>21-11-2003</t>
  </si>
  <si>
    <t>========= MENU PRINCIPAL =========</t>
  </si>
  <si>
    <t>3 - Recuperar Palavra-Passe</t>
  </si>
  <si>
    <t>4 - Iniciar Ano Letívo</t>
  </si>
  <si>
    <t>5 - Transitar Ano Letivo</t>
  </si>
  <si>
    <t>1  - Gerir Departamentos</t>
  </si>
  <si>
    <t>2  - Gerir Cursos</t>
  </si>
  <si>
    <t>3  - Gerir Unidades Curriculares</t>
  </si>
  <si>
    <t>4  - Gerir Estudantes</t>
  </si>
  <si>
    <t>5  - Gerir Docentes</t>
  </si>
  <si>
    <t>6  - Gerir Gestores</t>
  </si>
  <si>
    <t>7  - Consultar Relatórios Académicos</t>
  </si>
  <si>
    <t>============= BACKOFFICE - GESTÃO CENTRAL =============</t>
  </si>
  <si>
    <t>--- MÓDULO: DEPARTAMENTOS ---</t>
  </si>
  <si>
    <t>--- MÓDULO: CURSOS ---</t>
  </si>
  <si>
    <t>3 - Alternar Estado (Ativo/Inativo)</t>
  </si>
  <si>
    <t>4 - Consultar Percurso Académico do Curso</t>
  </si>
  <si>
    <t>5 - Atualizar Preço do Curso</t>
  </si>
  <si>
    <t>6 - Listar Alunos por Curso</t>
  </si>
  <si>
    <t>--- MÓDULO: UNIDADES CURRICULARES ---</t>
  </si>
  <si>
    <t>7 - Listar Alunos por Unidade Curricular</t>
  </si>
  <si>
    <t>8 - Listar Unidades Curriculares por Curso</t>
  </si>
  <si>
    <t>--- MÓDULO: ESTUDANTES ---</t>
  </si>
  <si>
    <t>3 - Listar Todos os Estudantes</t>
  </si>
  <si>
    <t>5 - Listar Alunos com Dívidas</t>
  </si>
  <si>
    <t>--- MÓDULO: DOCENTES ---</t>
  </si>
  <si>
    <t>3 - Listar Todos os Docentes</t>
  </si>
  <si>
    <t>5 - Visualizar Ficha Profissional</t>
  </si>
  <si>
    <t>--- MÓDULO: EQUIPA ADMINISTRATIVA ---</t>
  </si>
  <si>
    <t>4 - Alterar Palavra-passe</t>
  </si>
  <si>
    <t>--- MÓDULO: RELATÓRIOS ---</t>
  </si>
  <si>
    <t>1 - Consultar Estatísticas</t>
  </si>
  <si>
    <t>========= ÁREA DO DOCENTE =========</t>
  </si>
  <si>
    <t>1 - Ver Dados Pessoais e Profissionais</t>
  </si>
  <si>
    <t>2 - Atualizar Dados de Perfil</t>
  </si>
  <si>
    <t>3 - Gestão de Avaliações e Pautas</t>
  </si>
  <si>
    <t>4 - Consultar Estatísticas de UCs</t>
  </si>
  <si>
    <t>--- GESTÃO DE AVALIAÇÕES ---</t>
  </si>
  <si>
    <t>1 - Lançar Nota Individual</t>
  </si>
  <si>
    <t>2 - Lançar Notas em Lote (Turma Completa)</t>
  </si>
  <si>
    <t>3 - Visualizar Pauta da Disciplina</t>
  </si>
  <si>
    <t>4 - Definir Momentos de Avaliação</t>
  </si>
  <si>
    <t>MÓDULO DOCENTE</t>
  </si>
  <si>
    <t>[INATIVO] MAC : Matemática Clássica</t>
  </si>
  <si>
    <t>[ATIVO] MAT1 : Matemática 1</t>
  </si>
  <si>
    <t>[ATIVO] MAT2 : Matemática 2</t>
  </si>
  <si>
    <t>[ATIVO] COM1 : Construções Mecânicas 1</t>
  </si>
  <si>
    <t>[ATIVO] LEM - Licenciatura de Engenharia Mecânica</t>
  </si>
  <si>
    <t>[ATIVO] LEE - Licenciatura de Engenharia Eletrotécnica</t>
  </si>
  <si>
    <t>[ATIVO] LFQ - Licenciatura em Fisica e Química</t>
  </si>
  <si>
    <t>[ATIVO] COM2 : Construções Mecânicas 2</t>
  </si>
  <si>
    <t>[ATIVO] SDE : Sistemas Digitais Elétricos</t>
  </si>
  <si>
    <t>========= ÁREA DO ESTUDANTE =========</t>
  </si>
  <si>
    <t>1 - Ver Ficha de Estudante</t>
  </si>
  <si>
    <t>2 - Atualizar Dados Pessoais</t>
  </si>
  <si>
    <t>3 - Consultar Percurso Académico</t>
  </si>
  <si>
    <t>4 - Gestão de Propinas e Pagamentos</t>
  </si>
  <si>
    <t>5 - Desativar Conta de Utilizador</t>
  </si>
  <si>
    <t>--- ATUALIZAR DADOS PESSOAIS ---</t>
  </si>
  <si>
    <t>1 - Alterar Nome Completo</t>
  </si>
  <si>
    <t>2 - Alterar NIF</t>
  </si>
  <si>
    <t>3 - Alterar Morada</t>
  </si>
  <si>
    <t>5 - Alterar Email Pessoal</t>
  </si>
  <si>
    <t>--- LIQUIDAÇÃO DE VALORES ---</t>
  </si>
  <si>
    <t>3 - Introduzir Valor Personalizado</t>
  </si>
  <si>
    <t>0 - Cancelar Operação</t>
  </si>
  <si>
    <t>MÓDULO ESTUDANTE</t>
  </si>
  <si>
    <t>--- ATUALIZAR DADOS DE PERFIL ---</t>
  </si>
  <si>
    <t>1 - Pagamento Integral (1000,00€)</t>
  </si>
  <si>
    <t>2 - Pagar Prestação Mínima (100,00€)</t>
  </si>
  <si>
    <t xml:space="preserve">
MÓDULO GESTOR
MÓDULO GESTOR</t>
  </si>
  <si>
    <t>MENUS</t>
  </si>
  <si>
    <t>GESTORES</t>
  </si>
  <si>
    <t>DOCENTES</t>
  </si>
  <si>
    <t>ESTUDANTES</t>
  </si>
  <si>
    <t>Sem Curso</t>
  </si>
  <si>
    <t>Sem Departamento</t>
  </si>
  <si>
    <t>ELIMINADO</t>
  </si>
  <si>
    <t>7 - Listar Cursos por Departamento</t>
  </si>
  <si>
    <t>[ATIVO] DEN : Departamento de Engenharia</t>
  </si>
  <si>
    <t>[ATIVO] DCI : Departamento de Ciencias</t>
  </si>
  <si>
    <t>8 - Alterar Curso de Departamento</t>
  </si>
  <si>
    <t>[INATIVO] REA1 : Reatores 1</t>
  </si>
  <si>
    <t>[INATIVO] DCS : Departamento de Ciencias Sociais</t>
  </si>
  <si>
    <t>pbe@issmf.ipp.pt</t>
  </si>
  <si>
    <t>PBE</t>
  </si>
  <si>
    <t>22-02-2003</t>
  </si>
  <si>
    <t>vC9Rv6K2</t>
  </si>
  <si>
    <t>gYr6lZ0I</t>
  </si>
  <si>
    <t>pnq@issmf.ipp.pt</t>
  </si>
  <si>
    <t>OeBdaytL</t>
  </si>
  <si>
    <t>PNQ</t>
  </si>
  <si>
    <t>ZOvcpGJj</t>
  </si>
  <si>
    <t>pgq@issmf.ipp.pt</t>
  </si>
  <si>
    <t>PGQ</t>
  </si>
  <si>
    <t>pxc@issmf.ipp.pt</t>
  </si>
  <si>
    <t>ITt8HAcv</t>
  </si>
  <si>
    <t>PXC</t>
  </si>
  <si>
    <t>PWC</t>
  </si>
  <si>
    <t>pwc@issmf.ipp.pt</t>
  </si>
  <si>
    <t>c4Fa28Mq</t>
  </si>
  <si>
    <t>PSG</t>
  </si>
  <si>
    <t>kKee0ZHT</t>
  </si>
  <si>
    <t>psg@issmf.ipp.pt</t>
  </si>
  <si>
    <t>wbWQ7r1t</t>
  </si>
  <si>
    <t>pfo@issmf.ipp.pt</t>
  </si>
  <si>
    <t>Vvfr9h47</t>
  </si>
  <si>
    <t>PFO</t>
  </si>
  <si>
    <t>puoC4pv3</t>
  </si>
  <si>
    <t>F18ZTLEK</t>
  </si>
  <si>
    <t>gALRNpIz</t>
  </si>
  <si>
    <t>denGlK7P</t>
  </si>
  <si>
    <t>3yn006vk</t>
  </si>
  <si>
    <t>KBgtFxD8</t>
  </si>
  <si>
    <t>arzoI5uB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</si>
</sst>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5" borderId="1" xfId="0" applyFill="1" applyBorder="1"/>
    <xf numFmtId="0" fontId="0" fillId="6" borderId="2" xfId="0" applyFill="1" applyBorder="1"/>
    <xf numFmtId="49" fontId="1" fillId="0" borderId="1" xfId="1" quotePrefix="1" applyNumberFormat="1" applyBorder="1"/>
    <xf numFmtId="0" fontId="1" fillId="0" borderId="1" xfId="1" applyBorder="1"/>
    <xf numFmtId="49" fontId="0" fillId="0" borderId="1" xfId="0" applyNumberFormat="1" applyBorder="1"/>
    <xf numFmtId="0" fontId="0" fillId="2" borderId="1" xfId="0" applyFill="1" applyBorder="1"/>
    <xf numFmtId="0" fontId="1" fillId="2" borderId="1" xfId="1" applyFill="1" applyBorder="1"/>
    <xf numFmtId="49" fontId="0" fillId="2" borderId="1" xfId="0" applyNumberFormat="1" applyFill="1" applyBorder="1"/>
    <xf numFmtId="0" fontId="0" fillId="4" borderId="1" xfId="0" applyFill="1" applyBorder="1"/>
    <xf numFmtId="0" fontId="1" fillId="4" borderId="1" xfId="1" applyFill="1" applyBorder="1"/>
    <xf numFmtId="49" fontId="0" fillId="4" borderId="1" xfId="0" applyNumberFormat="1" applyFill="1" applyBorder="1"/>
    <xf numFmtId="0" fontId="0" fillId="3" borderId="1" xfId="0" applyFill="1" applyBorder="1"/>
    <xf numFmtId="0" fontId="1" fillId="3" borderId="1" xfId="1" applyFill="1" applyBorder="1"/>
    <xf numFmtId="14" fontId="0" fillId="3" borderId="1" xfId="0" applyNumberFormat="1" applyFill="1" applyBorder="1"/>
    <xf numFmtId="49" fontId="0" fillId="3" borderId="1" xfId="0" applyNumberFormat="1" applyFill="1" applyBorder="1"/>
    <xf numFmtId="0" fontId="2" fillId="0" borderId="1" xfId="0" applyFont="1" applyBorder="1"/>
    <xf numFmtId="14" fontId="2" fillId="0" borderId="1" xfId="0" applyNumberFormat="1" applyFont="1" applyBorder="1"/>
    <xf numFmtId="14" fontId="0" fillId="0" borderId="1" xfId="0" applyNumberFormat="1" applyBorder="1"/>
    <xf numFmtId="0" fontId="0" fillId="2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7" borderId="1" xfId="0" applyFill="1" applyBorder="1"/>
    <xf numFmtId="0" fontId="0" fillId="0" borderId="1" xfId="0" quotePrefix="1" applyBorder="1" applyAlignment="1">
      <alignment horizontal="center"/>
    </xf>
    <xf numFmtId="0" fontId="0" fillId="9" borderId="1" xfId="0" applyFill="1" applyBorder="1"/>
    <xf numFmtId="0" fontId="0" fillId="9" borderId="1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0" borderId="13" xfId="0" applyBorder="1"/>
    <xf numFmtId="49" fontId="2" fillId="0" borderId="1" xfId="0" applyNumberFormat="1" applyFont="1" applyBorder="1"/>
    <xf numFmtId="0" fontId="0" fillId="0" borderId="14" xfId="0" quotePrefix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4" xfId="0" applyBorder="1"/>
    <xf numFmtId="0" fontId="0" fillId="0" borderId="13" xfId="0" quotePrefix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6" borderId="15" xfId="0" applyFill="1" applyBorder="1"/>
    <xf numFmtId="0" fontId="0" fillId="6" borderId="3" xfId="0" applyFill="1" applyBorder="1"/>
    <xf numFmtId="0" fontId="0" fillId="6" borderId="12" xfId="0" applyFill="1" applyBorder="1"/>
    <xf numFmtId="0" fontId="0" fillId="6" borderId="4" xfId="0" applyFill="1" applyBorder="1"/>
    <xf numFmtId="0" fontId="1" fillId="0" borderId="15" xfId="1" applyFill="1" applyBorder="1"/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1" fillId="0" borderId="1" xfId="1" applyBorder="1" applyAlignment="1">
      <alignment horizontal="center" vertical="center"/>
    </xf>
    <xf numFmtId="0" fontId="1" fillId="0" borderId="5" xfId="1" applyBorder="1" applyAlignment="1">
      <alignment horizontal="center" vertical="center"/>
    </xf>
    <xf numFmtId="0" fontId="1" fillId="0" borderId="6" xfId="1" applyBorder="1" applyAlignment="1">
      <alignment horizontal="center" vertical="center"/>
    </xf>
    <xf numFmtId="0" fontId="1" fillId="0" borderId="7" xfId="1" applyBorder="1" applyAlignment="1">
      <alignment horizontal="center" vertical="center"/>
    </xf>
    <xf numFmtId="0" fontId="1" fillId="0" borderId="8" xfId="1" applyBorder="1" applyAlignment="1">
      <alignment horizontal="center" vertical="center"/>
    </xf>
    <xf numFmtId="0" fontId="1" fillId="0" borderId="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1" fillId="0" borderId="11" xfId="1" applyBorder="1" applyAlignment="1">
      <alignment horizontal="center" vertical="center"/>
    </xf>
    <xf numFmtId="0" fontId="0" fillId="5" borderId="1" xfId="0" applyFill="1" applyBorder="1" applyAlignment="1">
      <alignment horizontal="left"/>
    </xf>
    <xf numFmtId="0" fontId="0" fillId="6" borderId="0" xfId="0" applyFill="1" applyAlignment="1">
      <alignment horizontal="center"/>
    </xf>
    <xf numFmtId="0" fontId="0" fillId="6" borderId="1" xfId="0" quotePrefix="1" applyFill="1" applyBorder="1" applyAlignment="1">
      <alignment horizontal="center" vertical="center"/>
    </xf>
    <xf numFmtId="0" fontId="0" fillId="6" borderId="1" xfId="0" quotePrefix="1" applyFill="1" applyBorder="1" applyAlignment="1">
      <alignment horizontal="center"/>
    </xf>
    <xf numFmtId="0" fontId="0" fillId="0" borderId="1" xfId="0" quotePrefix="1" applyBorder="1" applyAlignment="1">
      <alignment horizontal="center" vertical="center"/>
    </xf>
    <xf numFmtId="0" fontId="0" fillId="0" borderId="15" xfId="0" applyFill="1" applyBorder="1"/>
  </cellXfs>
  <cellStyles count="2">
    <cellStyle name="Hiperligaçã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20260006@issmf.ipp.pt" TargetMode="External"/><Relationship Id="rId13" Type="http://schemas.openxmlformats.org/officeDocument/2006/relationships/hyperlink" Target="mailto:1220492@isep.ipp.pt" TargetMode="External"/><Relationship Id="rId18" Type="http://schemas.openxmlformats.org/officeDocument/2006/relationships/hyperlink" Target="mailto:pwc@issmf.ipp.pt" TargetMode="External"/><Relationship Id="rId3" Type="http://schemas.openxmlformats.org/officeDocument/2006/relationships/hyperlink" Target="mailto:1220492@isep.ipp.pt" TargetMode="External"/><Relationship Id="rId21" Type="http://schemas.openxmlformats.org/officeDocument/2006/relationships/hyperlink" Target="mailto:pfo@issmf.ipp.pt" TargetMode="External"/><Relationship Id="rId7" Type="http://schemas.openxmlformats.org/officeDocument/2006/relationships/hyperlink" Target="mailto:20260005@issmf.ipp.pt" TargetMode="External"/><Relationship Id="rId12" Type="http://schemas.openxmlformats.org/officeDocument/2006/relationships/hyperlink" Target="mailto:1220492@isep.ipp.pt" TargetMode="External"/><Relationship Id="rId17" Type="http://schemas.openxmlformats.org/officeDocument/2006/relationships/hyperlink" Target="mailto:pxc@issmf.ipp.pt" TargetMode="External"/><Relationship Id="rId2" Type="http://schemas.openxmlformats.org/officeDocument/2006/relationships/hyperlink" Target="mailto:backoffice@issmf.ipp.pt" TargetMode="External"/><Relationship Id="rId16" Type="http://schemas.openxmlformats.org/officeDocument/2006/relationships/hyperlink" Target="mailto:pgq@issmf.ipp.pt" TargetMode="External"/><Relationship Id="rId20" Type="http://schemas.openxmlformats.org/officeDocument/2006/relationships/hyperlink" Target="mailto:pbe@issmf.ipp.pt" TargetMode="External"/><Relationship Id="rId1" Type="http://schemas.openxmlformats.org/officeDocument/2006/relationships/hyperlink" Target="mailto:backoffice@issmf.ipp.pt" TargetMode="External"/><Relationship Id="rId6" Type="http://schemas.openxmlformats.org/officeDocument/2006/relationships/hyperlink" Target="mailto:20260004@issmf.ipp.pt" TargetMode="External"/><Relationship Id="rId11" Type="http://schemas.openxmlformats.org/officeDocument/2006/relationships/hyperlink" Target="mailto:backoffice_ovar@issmf.ipp.pt" TargetMode="External"/><Relationship Id="rId5" Type="http://schemas.openxmlformats.org/officeDocument/2006/relationships/hyperlink" Target="mailto:20260003@issmf.ipp.pt" TargetMode="External"/><Relationship Id="rId15" Type="http://schemas.openxmlformats.org/officeDocument/2006/relationships/hyperlink" Target="mailto:pnq@issmf.ipp.pt" TargetMode="External"/><Relationship Id="rId10" Type="http://schemas.openxmlformats.org/officeDocument/2006/relationships/hyperlink" Target="mailto:backoffice_brand&#227;o@issmf.ipp.pt" TargetMode="External"/><Relationship Id="rId19" Type="http://schemas.openxmlformats.org/officeDocument/2006/relationships/hyperlink" Target="mailto:psg@issmf.ipp.pt" TargetMode="External"/><Relationship Id="rId4" Type="http://schemas.openxmlformats.org/officeDocument/2006/relationships/hyperlink" Target="mailto:20260002@issmf.ipp.pt" TargetMode="External"/><Relationship Id="rId9" Type="http://schemas.openxmlformats.org/officeDocument/2006/relationships/hyperlink" Target="mailto:20260007@issmf.ipp.pt" TargetMode="External"/><Relationship Id="rId14" Type="http://schemas.openxmlformats.org/officeDocument/2006/relationships/hyperlink" Target="mailto:20260001@issmf.ipp.pt" TargetMode="External"/><Relationship Id="rId22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29DD-AB0E-45D2-BEA2-289639D498A2}">
  <dimension ref="B2:F119"/>
  <sheetViews>
    <sheetView topLeftCell="A10" zoomScale="84" workbookViewId="0">
      <selection activeCell="J34" sqref="J34"/>
    </sheetView>
  </sheetViews>
  <sheetFormatPr defaultRowHeight="14.4" x14ac:dyDescent="0.3"/>
  <cols>
    <col min="3" max="3" width="35" bestFit="1" customWidth="1"/>
    <col min="4" max="4" width="55.33203125" bestFit="1" customWidth="1"/>
    <col min="5" max="5" width="38.6640625" bestFit="1" customWidth="1"/>
  </cols>
  <sheetData>
    <row r="2" spans="2:6" x14ac:dyDescent="0.3">
      <c r="B2" s="47"/>
      <c r="C2" s="48"/>
      <c r="D2" s="48"/>
      <c r="E2" s="48"/>
      <c r="F2" s="49"/>
    </row>
    <row r="3" spans="2:6" x14ac:dyDescent="0.3">
      <c r="B3" s="52"/>
      <c r="C3" s="59" t="s">
        <v>197</v>
      </c>
      <c r="D3" s="59"/>
      <c r="E3" s="59"/>
      <c r="F3" s="50"/>
    </row>
    <row r="4" spans="2:6" x14ac:dyDescent="0.3">
      <c r="B4" s="52"/>
      <c r="C4" s="3" t="s">
        <v>127</v>
      </c>
      <c r="D4" s="54"/>
      <c r="E4" s="54"/>
      <c r="F4" s="50"/>
    </row>
    <row r="5" spans="2:6" x14ac:dyDescent="0.3">
      <c r="B5" s="52"/>
      <c r="C5" s="3" t="s">
        <v>46</v>
      </c>
      <c r="D5" s="54"/>
      <c r="E5" s="54"/>
      <c r="F5" s="50"/>
    </row>
    <row r="6" spans="2:6" x14ac:dyDescent="0.3">
      <c r="B6" s="52"/>
      <c r="C6" s="3" t="s">
        <v>47</v>
      </c>
      <c r="D6" s="54"/>
      <c r="E6" s="54"/>
      <c r="F6" s="50"/>
    </row>
    <row r="7" spans="2:6" x14ac:dyDescent="0.3">
      <c r="B7" s="52"/>
      <c r="C7" s="3" t="s">
        <v>128</v>
      </c>
      <c r="D7" s="54"/>
      <c r="E7" s="54"/>
      <c r="F7" s="50"/>
    </row>
    <row r="8" spans="2:6" x14ac:dyDescent="0.3">
      <c r="B8" s="52"/>
      <c r="C8" s="3" t="s">
        <v>129</v>
      </c>
      <c r="D8" s="54"/>
      <c r="E8" s="54"/>
      <c r="F8" s="50"/>
    </row>
    <row r="9" spans="2:6" x14ac:dyDescent="0.3">
      <c r="B9" s="52"/>
      <c r="C9" s="3" t="s">
        <v>130</v>
      </c>
      <c r="D9" s="54"/>
      <c r="E9" s="54"/>
      <c r="F9" s="50"/>
    </row>
    <row r="10" spans="2:6" x14ac:dyDescent="0.3">
      <c r="B10" s="52"/>
      <c r="C10" s="3" t="s">
        <v>48</v>
      </c>
      <c r="D10" s="54"/>
      <c r="E10" s="54"/>
      <c r="F10" s="50"/>
    </row>
    <row r="11" spans="2:6" x14ac:dyDescent="0.3">
      <c r="B11" s="52"/>
      <c r="C11" s="55"/>
      <c r="D11" s="55"/>
      <c r="E11" s="55"/>
      <c r="F11" s="50"/>
    </row>
    <row r="12" spans="2:6" x14ac:dyDescent="0.3">
      <c r="B12" s="52"/>
      <c r="C12" s="57" t="s">
        <v>196</v>
      </c>
      <c r="D12" s="3" t="s">
        <v>138</v>
      </c>
      <c r="E12" s="54"/>
      <c r="F12" s="50"/>
    </row>
    <row r="13" spans="2:6" x14ac:dyDescent="0.3">
      <c r="B13" s="52"/>
      <c r="C13" s="58"/>
      <c r="D13" s="3" t="s">
        <v>131</v>
      </c>
      <c r="E13" s="54"/>
      <c r="F13" s="50"/>
    </row>
    <row r="14" spans="2:6" x14ac:dyDescent="0.3">
      <c r="B14" s="52"/>
      <c r="C14" s="58"/>
      <c r="D14" s="3" t="s">
        <v>132</v>
      </c>
      <c r="E14" s="54"/>
      <c r="F14" s="50"/>
    </row>
    <row r="15" spans="2:6" x14ac:dyDescent="0.3">
      <c r="B15" s="52"/>
      <c r="C15" s="58"/>
      <c r="D15" s="3" t="s">
        <v>133</v>
      </c>
      <c r="E15" s="54"/>
      <c r="F15" s="50"/>
    </row>
    <row r="16" spans="2:6" x14ac:dyDescent="0.3">
      <c r="B16" s="52"/>
      <c r="C16" s="58"/>
      <c r="D16" s="3" t="s">
        <v>134</v>
      </c>
      <c r="E16" s="54"/>
      <c r="F16" s="50"/>
    </row>
    <row r="17" spans="2:6" x14ac:dyDescent="0.3">
      <c r="B17" s="52"/>
      <c r="C17" s="58"/>
      <c r="D17" s="3" t="s">
        <v>135</v>
      </c>
      <c r="E17" s="54"/>
      <c r="F17" s="50"/>
    </row>
    <row r="18" spans="2:6" x14ac:dyDescent="0.3">
      <c r="B18" s="52"/>
      <c r="C18" s="58"/>
      <c r="D18" s="3" t="s">
        <v>136</v>
      </c>
      <c r="E18" s="54"/>
      <c r="F18" s="50"/>
    </row>
    <row r="19" spans="2:6" x14ac:dyDescent="0.3">
      <c r="B19" s="52"/>
      <c r="C19" s="58"/>
      <c r="D19" s="3" t="s">
        <v>137</v>
      </c>
      <c r="E19" s="54"/>
      <c r="F19" s="50"/>
    </row>
    <row r="20" spans="2:6" x14ac:dyDescent="0.3">
      <c r="B20" s="52"/>
      <c r="C20" s="58"/>
      <c r="D20" s="60"/>
      <c r="E20" s="61"/>
      <c r="F20" s="50"/>
    </row>
    <row r="21" spans="2:6" x14ac:dyDescent="0.3">
      <c r="B21" s="52"/>
      <c r="C21" s="58"/>
      <c r="D21" s="54"/>
      <c r="E21" s="3" t="s">
        <v>139</v>
      </c>
      <c r="F21" s="50"/>
    </row>
    <row r="22" spans="2:6" x14ac:dyDescent="0.3">
      <c r="B22" s="52"/>
      <c r="C22" s="58"/>
      <c r="D22" s="54"/>
      <c r="E22" s="3" t="s">
        <v>0</v>
      </c>
      <c r="F22" s="50"/>
    </row>
    <row r="23" spans="2:6" x14ac:dyDescent="0.3">
      <c r="B23" s="52"/>
      <c r="C23" s="58"/>
      <c r="D23" s="54"/>
      <c r="E23" s="3" t="s">
        <v>1</v>
      </c>
      <c r="F23" s="50"/>
    </row>
    <row r="24" spans="2:6" x14ac:dyDescent="0.3">
      <c r="B24" s="52"/>
      <c r="C24" s="58"/>
      <c r="D24" s="54"/>
      <c r="E24" s="3" t="s">
        <v>50</v>
      </c>
      <c r="F24" s="50"/>
    </row>
    <row r="25" spans="2:6" x14ac:dyDescent="0.3">
      <c r="B25" s="52"/>
      <c r="C25" s="58"/>
      <c r="D25" s="54"/>
      <c r="E25" s="3" t="s">
        <v>51</v>
      </c>
      <c r="F25" s="50"/>
    </row>
    <row r="26" spans="2:6" x14ac:dyDescent="0.3">
      <c r="B26" s="52"/>
      <c r="C26" s="58"/>
      <c r="D26" s="54"/>
      <c r="E26" s="3" t="s">
        <v>2</v>
      </c>
      <c r="F26" s="50"/>
    </row>
    <row r="27" spans="2:6" x14ac:dyDescent="0.3">
      <c r="B27" s="52"/>
      <c r="C27" s="58"/>
      <c r="D27" s="54"/>
      <c r="E27" s="7"/>
      <c r="F27" s="50"/>
    </row>
    <row r="28" spans="2:6" x14ac:dyDescent="0.3">
      <c r="B28" s="52"/>
      <c r="C28" s="58"/>
      <c r="D28" s="54"/>
      <c r="E28" s="3" t="s">
        <v>140</v>
      </c>
      <c r="F28" s="50"/>
    </row>
    <row r="29" spans="2:6" x14ac:dyDescent="0.3">
      <c r="B29" s="52"/>
      <c r="C29" s="58"/>
      <c r="D29" s="54"/>
      <c r="E29" s="3" t="s">
        <v>3</v>
      </c>
      <c r="F29" s="50"/>
    </row>
    <row r="30" spans="2:6" x14ac:dyDescent="0.3">
      <c r="B30" s="52"/>
      <c r="C30" s="58"/>
      <c r="D30" s="54"/>
      <c r="E30" s="3" t="s">
        <v>4</v>
      </c>
      <c r="F30" s="50"/>
    </row>
    <row r="31" spans="2:6" x14ac:dyDescent="0.3">
      <c r="B31" s="52"/>
      <c r="C31" s="58"/>
      <c r="D31" s="54"/>
      <c r="E31" s="3" t="s">
        <v>141</v>
      </c>
      <c r="F31" s="50"/>
    </row>
    <row r="32" spans="2:6" x14ac:dyDescent="0.3">
      <c r="B32" s="52"/>
      <c r="C32" s="58"/>
      <c r="D32" s="54"/>
      <c r="E32" s="3" t="s">
        <v>142</v>
      </c>
      <c r="F32" s="50"/>
    </row>
    <row r="33" spans="2:6" x14ac:dyDescent="0.3">
      <c r="B33" s="52"/>
      <c r="C33" s="58"/>
      <c r="D33" s="54"/>
      <c r="E33" s="3" t="s">
        <v>143</v>
      </c>
      <c r="F33" s="50"/>
    </row>
    <row r="34" spans="2:6" x14ac:dyDescent="0.3">
      <c r="B34" s="52"/>
      <c r="C34" s="58"/>
      <c r="D34" s="54"/>
      <c r="E34" s="3" t="s">
        <v>144</v>
      </c>
      <c r="F34" s="50"/>
    </row>
    <row r="35" spans="2:6" x14ac:dyDescent="0.3">
      <c r="B35" s="52"/>
      <c r="C35" s="58"/>
      <c r="D35" s="54"/>
      <c r="E35" s="3" t="s">
        <v>204</v>
      </c>
      <c r="F35" s="50"/>
    </row>
    <row r="36" spans="2:6" x14ac:dyDescent="0.3">
      <c r="B36" s="52"/>
      <c r="C36" s="58"/>
      <c r="D36" s="54"/>
      <c r="E36" s="3" t="s">
        <v>207</v>
      </c>
      <c r="F36" s="50"/>
    </row>
    <row r="37" spans="2:6" x14ac:dyDescent="0.3">
      <c r="B37" s="52"/>
      <c r="C37" s="58"/>
      <c r="D37" s="54"/>
      <c r="E37" s="3" t="s">
        <v>2</v>
      </c>
      <c r="F37" s="50"/>
    </row>
    <row r="38" spans="2:6" x14ac:dyDescent="0.3">
      <c r="B38" s="52"/>
      <c r="C38" s="58"/>
      <c r="D38" s="54"/>
      <c r="E38" s="7"/>
      <c r="F38" s="50"/>
    </row>
    <row r="39" spans="2:6" x14ac:dyDescent="0.3">
      <c r="B39" s="52"/>
      <c r="C39" s="58"/>
      <c r="D39" s="54"/>
      <c r="E39" s="3" t="s">
        <v>145</v>
      </c>
      <c r="F39" s="50"/>
    </row>
    <row r="40" spans="2:6" x14ac:dyDescent="0.3">
      <c r="B40" s="52"/>
      <c r="C40" s="58"/>
      <c r="D40" s="54"/>
      <c r="E40" s="3" t="s">
        <v>53</v>
      </c>
      <c r="F40" s="50"/>
    </row>
    <row r="41" spans="2:6" x14ac:dyDescent="0.3">
      <c r="B41" s="52"/>
      <c r="C41" s="58"/>
      <c r="D41" s="54"/>
      <c r="E41" s="3" t="s">
        <v>5</v>
      </c>
      <c r="F41" s="50"/>
    </row>
    <row r="42" spans="2:6" x14ac:dyDescent="0.3">
      <c r="B42" s="52"/>
      <c r="C42" s="58"/>
      <c r="D42" s="54"/>
      <c r="E42" s="3" t="s">
        <v>6</v>
      </c>
      <c r="F42" s="50"/>
    </row>
    <row r="43" spans="2:6" x14ac:dyDescent="0.3">
      <c r="B43" s="52"/>
      <c r="C43" s="58"/>
      <c r="D43" s="54"/>
      <c r="E43" s="3" t="s">
        <v>54</v>
      </c>
      <c r="F43" s="50"/>
    </row>
    <row r="44" spans="2:6" x14ac:dyDescent="0.3">
      <c r="B44" s="52"/>
      <c r="C44" s="58"/>
      <c r="D44" s="54"/>
      <c r="E44" s="3" t="s">
        <v>52</v>
      </c>
      <c r="F44" s="50"/>
    </row>
    <row r="45" spans="2:6" x14ac:dyDescent="0.3">
      <c r="B45" s="52"/>
      <c r="C45" s="58"/>
      <c r="D45" s="54"/>
      <c r="E45" s="3" t="s">
        <v>55</v>
      </c>
      <c r="F45" s="50"/>
    </row>
    <row r="46" spans="2:6" x14ac:dyDescent="0.3">
      <c r="B46" s="52"/>
      <c r="C46" s="58"/>
      <c r="D46" s="54"/>
      <c r="E46" s="3" t="s">
        <v>146</v>
      </c>
      <c r="F46" s="50"/>
    </row>
    <row r="47" spans="2:6" x14ac:dyDescent="0.3">
      <c r="B47" s="52"/>
      <c r="C47" s="58"/>
      <c r="D47" s="54"/>
      <c r="E47" s="3" t="s">
        <v>147</v>
      </c>
      <c r="F47" s="50"/>
    </row>
    <row r="48" spans="2:6" x14ac:dyDescent="0.3">
      <c r="B48" s="52"/>
      <c r="C48" s="58"/>
      <c r="D48" s="54"/>
      <c r="E48" s="3" t="s">
        <v>2</v>
      </c>
      <c r="F48" s="50"/>
    </row>
    <row r="49" spans="2:6" x14ac:dyDescent="0.3">
      <c r="B49" s="52"/>
      <c r="C49" s="58"/>
      <c r="D49" s="54"/>
      <c r="E49" s="7"/>
      <c r="F49" s="50"/>
    </row>
    <row r="50" spans="2:6" x14ac:dyDescent="0.3">
      <c r="B50" s="52"/>
      <c r="C50" s="58"/>
      <c r="D50" s="54"/>
      <c r="E50" s="3" t="s">
        <v>148</v>
      </c>
      <c r="F50" s="50"/>
    </row>
    <row r="51" spans="2:6" x14ac:dyDescent="0.3">
      <c r="B51" s="52"/>
      <c r="C51" s="58"/>
      <c r="D51" s="54"/>
      <c r="E51" s="3" t="s">
        <v>7</v>
      </c>
      <c r="F51" s="50"/>
    </row>
    <row r="52" spans="2:6" x14ac:dyDescent="0.3">
      <c r="B52" s="52"/>
      <c r="C52" s="58"/>
      <c r="D52" s="54"/>
      <c r="E52" s="3" t="s">
        <v>56</v>
      </c>
      <c r="F52" s="50"/>
    </row>
    <row r="53" spans="2:6" x14ac:dyDescent="0.3">
      <c r="B53" s="52"/>
      <c r="C53" s="58"/>
      <c r="D53" s="54"/>
      <c r="E53" s="3" t="s">
        <v>149</v>
      </c>
      <c r="F53" s="50"/>
    </row>
    <row r="54" spans="2:6" x14ac:dyDescent="0.3">
      <c r="B54" s="52"/>
      <c r="C54" s="58"/>
      <c r="D54" s="54"/>
      <c r="E54" s="3" t="s">
        <v>51</v>
      </c>
      <c r="F54" s="50"/>
    </row>
    <row r="55" spans="2:6" x14ac:dyDescent="0.3">
      <c r="B55" s="52"/>
      <c r="C55" s="58"/>
      <c r="D55" s="54"/>
      <c r="E55" s="3" t="s">
        <v>150</v>
      </c>
      <c r="F55" s="50"/>
    </row>
    <row r="56" spans="2:6" x14ac:dyDescent="0.3">
      <c r="B56" s="52"/>
      <c r="C56" s="58"/>
      <c r="D56" s="54"/>
      <c r="E56" s="3" t="s">
        <v>2</v>
      </c>
      <c r="F56" s="50"/>
    </row>
    <row r="57" spans="2:6" x14ac:dyDescent="0.3">
      <c r="B57" s="52"/>
      <c r="C57" s="58"/>
      <c r="D57" s="54"/>
      <c r="E57" s="7"/>
      <c r="F57" s="50"/>
    </row>
    <row r="58" spans="2:6" x14ac:dyDescent="0.3">
      <c r="B58" s="52"/>
      <c r="C58" s="58"/>
      <c r="D58" s="54"/>
      <c r="E58" s="3" t="s">
        <v>151</v>
      </c>
      <c r="F58" s="50"/>
    </row>
    <row r="59" spans="2:6" x14ac:dyDescent="0.3">
      <c r="B59" s="52"/>
      <c r="C59" s="58"/>
      <c r="D59" s="54"/>
      <c r="E59" s="3" t="s">
        <v>8</v>
      </c>
      <c r="F59" s="50"/>
    </row>
    <row r="60" spans="2:6" x14ac:dyDescent="0.3">
      <c r="B60" s="52"/>
      <c r="C60" s="58"/>
      <c r="D60" s="54"/>
      <c r="E60" s="3" t="s">
        <v>57</v>
      </c>
      <c r="F60" s="50"/>
    </row>
    <row r="61" spans="2:6" x14ac:dyDescent="0.3">
      <c r="B61" s="52"/>
      <c r="C61" s="58"/>
      <c r="D61" s="54"/>
      <c r="E61" s="3" t="s">
        <v>152</v>
      </c>
      <c r="F61" s="50"/>
    </row>
    <row r="62" spans="2:6" x14ac:dyDescent="0.3">
      <c r="B62" s="52"/>
      <c r="C62" s="58"/>
      <c r="D62" s="54"/>
      <c r="E62" s="3" t="s">
        <v>51</v>
      </c>
      <c r="F62" s="50"/>
    </row>
    <row r="63" spans="2:6" x14ac:dyDescent="0.3">
      <c r="B63" s="52"/>
      <c r="C63" s="58"/>
      <c r="D63" s="54"/>
      <c r="E63" s="3" t="s">
        <v>153</v>
      </c>
      <c r="F63" s="50"/>
    </row>
    <row r="64" spans="2:6" x14ac:dyDescent="0.3">
      <c r="B64" s="52"/>
      <c r="C64" s="58"/>
      <c r="D64" s="54"/>
      <c r="E64" s="3" t="s">
        <v>2</v>
      </c>
      <c r="F64" s="50"/>
    </row>
    <row r="65" spans="2:6" x14ac:dyDescent="0.3">
      <c r="B65" s="52"/>
      <c r="C65" s="58"/>
      <c r="D65" s="54"/>
      <c r="E65" s="7"/>
      <c r="F65" s="50"/>
    </row>
    <row r="66" spans="2:6" x14ac:dyDescent="0.3">
      <c r="B66" s="52"/>
      <c r="C66" s="58"/>
      <c r="D66" s="54"/>
      <c r="E66" s="3" t="s">
        <v>154</v>
      </c>
      <c r="F66" s="50"/>
    </row>
    <row r="67" spans="2:6" x14ac:dyDescent="0.3">
      <c r="B67" s="52"/>
      <c r="C67" s="58"/>
      <c r="D67" s="54"/>
      <c r="E67" s="3" t="s">
        <v>9</v>
      </c>
      <c r="F67" s="50"/>
    </row>
    <row r="68" spans="2:6" x14ac:dyDescent="0.3">
      <c r="B68" s="52"/>
      <c r="C68" s="58"/>
      <c r="D68" s="54"/>
      <c r="E68" s="3" t="s">
        <v>58</v>
      </c>
      <c r="F68" s="50"/>
    </row>
    <row r="69" spans="2:6" x14ac:dyDescent="0.3">
      <c r="B69" s="52"/>
      <c r="C69" s="58"/>
      <c r="D69" s="54"/>
      <c r="E69" s="3" t="s">
        <v>59</v>
      </c>
      <c r="F69" s="50"/>
    </row>
    <row r="70" spans="2:6" x14ac:dyDescent="0.3">
      <c r="B70" s="52"/>
      <c r="C70" s="58"/>
      <c r="D70" s="54"/>
      <c r="E70" s="3" t="s">
        <v>155</v>
      </c>
      <c r="F70" s="50"/>
    </row>
    <row r="71" spans="2:6" x14ac:dyDescent="0.3">
      <c r="B71" s="52"/>
      <c r="C71" s="58"/>
      <c r="D71" s="54"/>
      <c r="E71" s="3" t="s">
        <v>2</v>
      </c>
      <c r="F71" s="50"/>
    </row>
    <row r="72" spans="2:6" x14ac:dyDescent="0.3">
      <c r="B72" s="52"/>
      <c r="C72" s="58"/>
      <c r="D72" s="54"/>
      <c r="E72" s="7"/>
      <c r="F72" s="50"/>
    </row>
    <row r="73" spans="2:6" x14ac:dyDescent="0.3">
      <c r="B73" s="52"/>
      <c r="C73" s="58"/>
      <c r="D73" s="54"/>
      <c r="E73" s="3" t="s">
        <v>156</v>
      </c>
      <c r="F73" s="50"/>
    </row>
    <row r="74" spans="2:6" x14ac:dyDescent="0.3">
      <c r="B74" s="52"/>
      <c r="C74" s="58"/>
      <c r="D74" s="54"/>
      <c r="E74" s="3" t="s">
        <v>157</v>
      </c>
      <c r="F74" s="50"/>
    </row>
    <row r="75" spans="2:6" x14ac:dyDescent="0.3">
      <c r="B75" s="52"/>
      <c r="C75" s="58"/>
      <c r="D75" s="54"/>
      <c r="E75" s="3" t="s">
        <v>2</v>
      </c>
      <c r="F75" s="50"/>
    </row>
    <row r="76" spans="2:6" x14ac:dyDescent="0.3">
      <c r="B76" s="52"/>
      <c r="C76" s="55"/>
      <c r="D76" s="55"/>
      <c r="E76" s="55"/>
      <c r="F76" s="50"/>
    </row>
    <row r="77" spans="2:6" x14ac:dyDescent="0.3">
      <c r="B77" s="52"/>
      <c r="C77" s="56" t="s">
        <v>168</v>
      </c>
      <c r="D77" s="3" t="s">
        <v>158</v>
      </c>
      <c r="E77" s="54"/>
      <c r="F77" s="50"/>
    </row>
    <row r="78" spans="2:6" x14ac:dyDescent="0.3">
      <c r="B78" s="52"/>
      <c r="C78" s="56"/>
      <c r="D78" s="3" t="s">
        <v>159</v>
      </c>
      <c r="E78" s="54"/>
      <c r="F78" s="50"/>
    </row>
    <row r="79" spans="2:6" x14ac:dyDescent="0.3">
      <c r="B79" s="52"/>
      <c r="C79" s="56"/>
      <c r="D79" s="3" t="s">
        <v>160</v>
      </c>
      <c r="E79" s="54"/>
      <c r="F79" s="50"/>
    </row>
    <row r="80" spans="2:6" x14ac:dyDescent="0.3">
      <c r="B80" s="52"/>
      <c r="C80" s="56"/>
      <c r="D80" s="3" t="s">
        <v>161</v>
      </c>
      <c r="E80" s="54"/>
      <c r="F80" s="50"/>
    </row>
    <row r="81" spans="2:6" x14ac:dyDescent="0.3">
      <c r="B81" s="52"/>
      <c r="C81" s="56"/>
      <c r="D81" s="3" t="s">
        <v>162</v>
      </c>
      <c r="E81" s="54"/>
      <c r="F81" s="50"/>
    </row>
    <row r="82" spans="2:6" x14ac:dyDescent="0.3">
      <c r="B82" s="52"/>
      <c r="C82" s="56"/>
      <c r="D82" s="3" t="s">
        <v>49</v>
      </c>
      <c r="E82" s="54"/>
      <c r="F82" s="50"/>
    </row>
    <row r="83" spans="2:6" x14ac:dyDescent="0.3">
      <c r="B83" s="52"/>
      <c r="C83" s="56"/>
      <c r="D83" s="54"/>
      <c r="E83" s="54"/>
      <c r="F83" s="50"/>
    </row>
    <row r="84" spans="2:6" x14ac:dyDescent="0.3">
      <c r="B84" s="52"/>
      <c r="C84" s="56"/>
      <c r="D84" s="54"/>
      <c r="E84" s="6" t="s">
        <v>193</v>
      </c>
      <c r="F84" s="50"/>
    </row>
    <row r="85" spans="2:6" x14ac:dyDescent="0.3">
      <c r="B85" s="52"/>
      <c r="C85" s="56"/>
      <c r="D85" s="54"/>
      <c r="E85" s="6" t="s">
        <v>185</v>
      </c>
      <c r="F85" s="50"/>
    </row>
    <row r="86" spans="2:6" x14ac:dyDescent="0.3">
      <c r="B86" s="52"/>
      <c r="C86" s="56"/>
      <c r="D86" s="54"/>
      <c r="E86" s="6" t="s">
        <v>186</v>
      </c>
      <c r="F86" s="50"/>
    </row>
    <row r="87" spans="2:6" x14ac:dyDescent="0.3">
      <c r="B87" s="52"/>
      <c r="C87" s="56"/>
      <c r="D87" s="54"/>
      <c r="E87" s="6" t="s">
        <v>187</v>
      </c>
      <c r="F87" s="50"/>
    </row>
    <row r="88" spans="2:6" x14ac:dyDescent="0.3">
      <c r="B88" s="52"/>
      <c r="C88" s="56"/>
      <c r="D88" s="54"/>
      <c r="E88" s="6" t="s">
        <v>155</v>
      </c>
      <c r="F88" s="50"/>
    </row>
    <row r="89" spans="2:6" x14ac:dyDescent="0.3">
      <c r="B89" s="52"/>
      <c r="C89" s="56"/>
      <c r="D89" s="54"/>
      <c r="E89" s="6" t="s">
        <v>2</v>
      </c>
      <c r="F89" s="50"/>
    </row>
    <row r="90" spans="2:6" x14ac:dyDescent="0.3">
      <c r="B90" s="52"/>
      <c r="C90" s="56"/>
      <c r="D90" s="54"/>
      <c r="E90" s="7"/>
      <c r="F90" s="50"/>
    </row>
    <row r="91" spans="2:6" x14ac:dyDescent="0.3">
      <c r="B91" s="52"/>
      <c r="C91" s="56"/>
      <c r="D91" s="54"/>
      <c r="E91" s="3" t="s">
        <v>163</v>
      </c>
      <c r="F91" s="50"/>
    </row>
    <row r="92" spans="2:6" x14ac:dyDescent="0.3">
      <c r="B92" s="52"/>
      <c r="C92" s="56"/>
      <c r="D92" s="54"/>
      <c r="E92" s="3" t="s">
        <v>164</v>
      </c>
      <c r="F92" s="50"/>
    </row>
    <row r="93" spans="2:6" x14ac:dyDescent="0.3">
      <c r="B93" s="52"/>
      <c r="C93" s="56"/>
      <c r="D93" s="54"/>
      <c r="E93" s="3" t="s">
        <v>165</v>
      </c>
      <c r="F93" s="50"/>
    </row>
    <row r="94" spans="2:6" x14ac:dyDescent="0.3">
      <c r="B94" s="52"/>
      <c r="C94" s="56"/>
      <c r="D94" s="54"/>
      <c r="E94" s="3" t="s">
        <v>166</v>
      </c>
      <c r="F94" s="50"/>
    </row>
    <row r="95" spans="2:6" x14ac:dyDescent="0.3">
      <c r="B95" s="52"/>
      <c r="C95" s="56"/>
      <c r="D95" s="54"/>
      <c r="E95" s="3" t="s">
        <v>167</v>
      </c>
      <c r="F95" s="50"/>
    </row>
    <row r="96" spans="2:6" x14ac:dyDescent="0.3">
      <c r="B96" s="52"/>
      <c r="C96" s="56"/>
      <c r="D96" s="54"/>
      <c r="E96" s="3" t="s">
        <v>2</v>
      </c>
      <c r="F96" s="50"/>
    </row>
    <row r="97" spans="2:6" x14ac:dyDescent="0.3">
      <c r="B97" s="52"/>
      <c r="C97" s="55"/>
      <c r="D97" s="55"/>
      <c r="E97" s="55"/>
      <c r="F97" s="50"/>
    </row>
    <row r="98" spans="2:6" x14ac:dyDescent="0.3">
      <c r="B98" s="52"/>
      <c r="C98" s="56" t="s">
        <v>192</v>
      </c>
      <c r="D98" s="3" t="s">
        <v>178</v>
      </c>
      <c r="E98" s="54"/>
      <c r="F98" s="50"/>
    </row>
    <row r="99" spans="2:6" x14ac:dyDescent="0.3">
      <c r="B99" s="52"/>
      <c r="C99" s="56"/>
      <c r="D99" s="3" t="s">
        <v>179</v>
      </c>
      <c r="E99" s="54"/>
      <c r="F99" s="50"/>
    </row>
    <row r="100" spans="2:6" x14ac:dyDescent="0.3">
      <c r="B100" s="52"/>
      <c r="C100" s="56"/>
      <c r="D100" s="3" t="s">
        <v>180</v>
      </c>
      <c r="E100" s="54"/>
      <c r="F100" s="50"/>
    </row>
    <row r="101" spans="2:6" x14ac:dyDescent="0.3">
      <c r="B101" s="52"/>
      <c r="C101" s="56"/>
      <c r="D101" s="3" t="s">
        <v>181</v>
      </c>
      <c r="E101" s="54"/>
      <c r="F101" s="50"/>
    </row>
    <row r="102" spans="2:6" x14ac:dyDescent="0.3">
      <c r="B102" s="52"/>
      <c r="C102" s="56"/>
      <c r="D102" s="3" t="s">
        <v>182</v>
      </c>
      <c r="E102" s="54"/>
      <c r="F102" s="50"/>
    </row>
    <row r="103" spans="2:6" x14ac:dyDescent="0.3">
      <c r="B103" s="52"/>
      <c r="C103" s="56"/>
      <c r="D103" s="3" t="s">
        <v>183</v>
      </c>
      <c r="E103" s="54"/>
      <c r="F103" s="50"/>
    </row>
    <row r="104" spans="2:6" x14ac:dyDescent="0.3">
      <c r="B104" s="52"/>
      <c r="C104" s="56"/>
      <c r="D104" s="3" t="s">
        <v>49</v>
      </c>
      <c r="E104" s="54"/>
      <c r="F104" s="50"/>
    </row>
    <row r="105" spans="2:6" x14ac:dyDescent="0.3">
      <c r="B105" s="52"/>
      <c r="C105" s="56"/>
      <c r="D105" s="54"/>
      <c r="E105" s="54"/>
      <c r="F105" s="50"/>
    </row>
    <row r="106" spans="2:6" x14ac:dyDescent="0.3">
      <c r="B106" s="52"/>
      <c r="C106" s="56"/>
      <c r="D106" s="54"/>
      <c r="E106" s="3" t="s">
        <v>184</v>
      </c>
      <c r="F106" s="50"/>
    </row>
    <row r="107" spans="2:6" x14ac:dyDescent="0.3">
      <c r="B107" s="52"/>
      <c r="C107" s="56"/>
      <c r="D107" s="54"/>
      <c r="E107" s="3" t="s">
        <v>185</v>
      </c>
      <c r="F107" s="50"/>
    </row>
    <row r="108" spans="2:6" x14ac:dyDescent="0.3">
      <c r="B108" s="52"/>
      <c r="C108" s="56"/>
      <c r="D108" s="54"/>
      <c r="E108" s="3" t="s">
        <v>186</v>
      </c>
      <c r="F108" s="50"/>
    </row>
    <row r="109" spans="2:6" x14ac:dyDescent="0.3">
      <c r="B109" s="52"/>
      <c r="C109" s="56"/>
      <c r="D109" s="54"/>
      <c r="E109" s="3" t="s">
        <v>187</v>
      </c>
      <c r="F109" s="50"/>
    </row>
    <row r="110" spans="2:6" x14ac:dyDescent="0.3">
      <c r="B110" s="52"/>
      <c r="C110" s="56"/>
      <c r="D110" s="54"/>
      <c r="E110" s="3" t="s">
        <v>155</v>
      </c>
      <c r="F110" s="50"/>
    </row>
    <row r="111" spans="2:6" x14ac:dyDescent="0.3">
      <c r="B111" s="52"/>
      <c r="C111" s="56"/>
      <c r="D111" s="54"/>
      <c r="E111" s="3" t="s">
        <v>188</v>
      </c>
      <c r="F111" s="50"/>
    </row>
    <row r="112" spans="2:6" x14ac:dyDescent="0.3">
      <c r="B112" s="52"/>
      <c r="C112" s="56"/>
      <c r="D112" s="54"/>
      <c r="E112" s="3" t="s">
        <v>2</v>
      </c>
      <c r="F112" s="50"/>
    </row>
    <row r="113" spans="2:6" x14ac:dyDescent="0.3">
      <c r="B113" s="52"/>
      <c r="C113" s="56"/>
      <c r="D113" s="54"/>
      <c r="E113" s="7"/>
      <c r="F113" s="50"/>
    </row>
    <row r="114" spans="2:6" x14ac:dyDescent="0.3">
      <c r="B114" s="52"/>
      <c r="C114" s="56"/>
      <c r="D114" s="54"/>
      <c r="E114" s="3" t="s">
        <v>189</v>
      </c>
      <c r="F114" s="50"/>
    </row>
    <row r="115" spans="2:6" x14ac:dyDescent="0.3">
      <c r="B115" s="52"/>
      <c r="C115" s="56"/>
      <c r="D115" s="54"/>
      <c r="E115" s="3" t="s">
        <v>194</v>
      </c>
      <c r="F115" s="50"/>
    </row>
    <row r="116" spans="2:6" x14ac:dyDescent="0.3">
      <c r="B116" s="52"/>
      <c r="C116" s="56"/>
      <c r="D116" s="54"/>
      <c r="E116" s="3" t="s">
        <v>195</v>
      </c>
      <c r="F116" s="50"/>
    </row>
    <row r="117" spans="2:6" x14ac:dyDescent="0.3">
      <c r="B117" s="52"/>
      <c r="C117" s="56"/>
      <c r="D117" s="54"/>
      <c r="E117" s="3" t="s">
        <v>190</v>
      </c>
      <c r="F117" s="50"/>
    </row>
    <row r="118" spans="2:6" x14ac:dyDescent="0.3">
      <c r="B118" s="52"/>
      <c r="C118" s="56"/>
      <c r="D118" s="54"/>
      <c r="E118" s="3" t="s">
        <v>191</v>
      </c>
      <c r="F118" s="50"/>
    </row>
    <row r="119" spans="2:6" x14ac:dyDescent="0.3">
      <c r="B119" s="53"/>
      <c r="C119" s="8"/>
      <c r="D119" s="8"/>
      <c r="E119" s="8"/>
      <c r="F119" s="51"/>
    </row>
  </sheetData>
  <mergeCells count="20">
    <mergeCell ref="C76:E76"/>
    <mergeCell ref="D105:E105"/>
    <mergeCell ref="C3:E3"/>
    <mergeCell ref="D20:E20"/>
    <mergeCell ref="B2:F2"/>
    <mergeCell ref="F3:F119"/>
    <mergeCell ref="B3:B119"/>
    <mergeCell ref="D106:D118"/>
    <mergeCell ref="C97:E97"/>
    <mergeCell ref="C98:C118"/>
    <mergeCell ref="D4:E10"/>
    <mergeCell ref="C11:E11"/>
    <mergeCell ref="D83:E83"/>
    <mergeCell ref="D84:D96"/>
    <mergeCell ref="E98:E104"/>
    <mergeCell ref="C12:C75"/>
    <mergeCell ref="D21:D75"/>
    <mergeCell ref="C77:C96"/>
    <mergeCell ref="E12:E19"/>
    <mergeCell ref="E77:E8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FFC68-BC6E-45A7-9925-0DFE4309B06B}">
  <dimension ref="B2:O33"/>
  <sheetViews>
    <sheetView tabSelected="1" zoomScale="80" zoomScaleNormal="80" workbookViewId="0">
      <selection activeCell="H5" sqref="H5"/>
    </sheetView>
  </sheetViews>
  <sheetFormatPr defaultRowHeight="14.4" x14ac:dyDescent="0.3"/>
  <cols>
    <col min="4" max="4" width="11.21875" bestFit="1" customWidth="1"/>
    <col min="5" max="5" width="24" bestFit="1" customWidth="1"/>
    <col min="6" max="6" width="11.33203125" style="2" customWidth="1"/>
    <col min="7" max="7" width="34" bestFit="1" customWidth="1"/>
    <col min="8" max="8" width="11.21875" bestFit="1" customWidth="1"/>
    <col min="9" max="9" width="10.5546875" bestFit="1" customWidth="1"/>
    <col min="10" max="10" width="10" bestFit="1" customWidth="1"/>
    <col min="11" max="11" width="10.6640625" bestFit="1" customWidth="1"/>
    <col min="12" max="12" width="10.5546875" bestFit="1" customWidth="1"/>
    <col min="13" max="13" width="11.109375" customWidth="1"/>
  </cols>
  <sheetData>
    <row r="2" spans="2:15" x14ac:dyDescent="0.3">
      <c r="B2" s="47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9"/>
    </row>
    <row r="3" spans="2:15" x14ac:dyDescent="0.3">
      <c r="B3" s="52"/>
      <c r="C3" s="63" t="s">
        <v>198</v>
      </c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50"/>
    </row>
    <row r="4" spans="2:15" ht="14.4" hidden="1" customHeight="1" x14ac:dyDescent="0.3">
      <c r="B4" s="52"/>
      <c r="C4" s="3"/>
      <c r="D4" s="3"/>
      <c r="E4" s="3"/>
      <c r="F4" s="6"/>
      <c r="G4" s="9" t="s">
        <v>11</v>
      </c>
      <c r="H4" s="3"/>
      <c r="I4" s="3"/>
      <c r="J4" s="3"/>
      <c r="K4" s="3" t="s">
        <v>23</v>
      </c>
      <c r="L4" s="3"/>
      <c r="M4" s="3"/>
      <c r="N4" s="3"/>
      <c r="O4" s="50"/>
    </row>
    <row r="5" spans="2:15" x14ac:dyDescent="0.3">
      <c r="B5" s="52"/>
      <c r="C5" s="54"/>
      <c r="D5" s="3" t="s">
        <v>10</v>
      </c>
      <c r="E5" s="3" t="s">
        <v>15</v>
      </c>
      <c r="F5" s="77"/>
      <c r="G5" s="10" t="s">
        <v>11</v>
      </c>
      <c r="H5" s="3" t="s">
        <v>12</v>
      </c>
      <c r="I5" s="65" t="s">
        <v>106</v>
      </c>
      <c r="J5" s="66"/>
      <c r="K5" s="3" t="s">
        <v>23</v>
      </c>
      <c r="L5" s="68" t="s">
        <v>101</v>
      </c>
      <c r="M5" s="69"/>
      <c r="N5" s="70"/>
      <c r="O5" s="50"/>
    </row>
    <row r="6" spans="2:15" x14ac:dyDescent="0.3">
      <c r="B6" s="52"/>
      <c r="C6" s="54"/>
      <c r="D6" s="3" t="s">
        <v>10</v>
      </c>
      <c r="E6" s="3" t="s">
        <v>61</v>
      </c>
      <c r="F6" s="77"/>
      <c r="G6" s="10" t="s">
        <v>62</v>
      </c>
      <c r="H6" s="3" t="s">
        <v>213</v>
      </c>
      <c r="I6" s="65" t="s">
        <v>100</v>
      </c>
      <c r="J6" s="66"/>
      <c r="K6" s="3" t="s">
        <v>24</v>
      </c>
      <c r="L6" s="71"/>
      <c r="M6" s="72"/>
      <c r="N6" s="73"/>
      <c r="O6" s="50"/>
    </row>
    <row r="7" spans="2:15" x14ac:dyDescent="0.3">
      <c r="B7" s="52"/>
      <c r="C7" s="54"/>
      <c r="D7" s="3" t="s">
        <v>10</v>
      </c>
      <c r="E7" s="3" t="s">
        <v>60</v>
      </c>
      <c r="F7" s="77"/>
      <c r="G7" s="10" t="s">
        <v>45</v>
      </c>
      <c r="H7" s="3" t="s">
        <v>214</v>
      </c>
      <c r="I7" s="65" t="s">
        <v>60</v>
      </c>
      <c r="J7" s="66"/>
      <c r="K7" s="3" t="s">
        <v>23</v>
      </c>
      <c r="L7" s="74"/>
      <c r="M7" s="75"/>
      <c r="N7" s="76"/>
      <c r="O7" s="50"/>
    </row>
    <row r="8" spans="2:15" x14ac:dyDescent="0.3">
      <c r="B8" s="5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50"/>
    </row>
    <row r="9" spans="2:15" x14ac:dyDescent="0.3">
      <c r="B9" s="52"/>
      <c r="C9" s="63" t="s">
        <v>199</v>
      </c>
      <c r="D9" s="63"/>
      <c r="E9" s="63"/>
      <c r="F9" s="63"/>
      <c r="G9" s="63"/>
      <c r="H9" s="63"/>
      <c r="I9" s="63"/>
      <c r="J9" s="63"/>
      <c r="K9" s="63"/>
      <c r="L9" s="63"/>
      <c r="M9" s="63"/>
      <c r="N9" s="63"/>
      <c r="O9" s="50"/>
    </row>
    <row r="10" spans="2:15" x14ac:dyDescent="0.3">
      <c r="B10" s="52"/>
      <c r="C10" s="3" t="s">
        <v>42</v>
      </c>
      <c r="D10" s="3" t="s">
        <v>16</v>
      </c>
      <c r="E10" s="3" t="s">
        <v>17</v>
      </c>
      <c r="F10" s="6" t="s">
        <v>217</v>
      </c>
      <c r="G10" s="10" t="s">
        <v>215</v>
      </c>
      <c r="H10" s="3" t="s">
        <v>216</v>
      </c>
      <c r="I10" s="3">
        <v>142536748</v>
      </c>
      <c r="J10" s="3" t="s">
        <v>18</v>
      </c>
      <c r="K10" s="3" t="s">
        <v>23</v>
      </c>
      <c r="L10" s="11" t="s">
        <v>107</v>
      </c>
      <c r="M10" s="67" t="s">
        <v>101</v>
      </c>
      <c r="N10" s="67"/>
      <c r="O10" s="50"/>
    </row>
    <row r="11" spans="2:15" x14ac:dyDescent="0.3">
      <c r="B11" s="52"/>
      <c r="C11" s="3" t="s">
        <v>42</v>
      </c>
      <c r="D11" s="3" t="s">
        <v>16</v>
      </c>
      <c r="E11" s="3" t="s">
        <v>19</v>
      </c>
      <c r="F11" s="6" t="s">
        <v>220</v>
      </c>
      <c r="G11" s="10" t="s">
        <v>219</v>
      </c>
      <c r="H11" s="3" t="s">
        <v>218</v>
      </c>
      <c r="I11" s="3">
        <v>142536747</v>
      </c>
      <c r="J11" s="3" t="s">
        <v>22</v>
      </c>
      <c r="K11" s="3" t="s">
        <v>23</v>
      </c>
      <c r="L11" s="11" t="s">
        <v>108</v>
      </c>
      <c r="M11" s="67"/>
      <c r="N11" s="67"/>
      <c r="O11" s="50"/>
    </row>
    <row r="12" spans="2:15" x14ac:dyDescent="0.3">
      <c r="B12" s="52"/>
      <c r="C12" s="3" t="s">
        <v>42</v>
      </c>
      <c r="D12" s="3" t="s">
        <v>16</v>
      </c>
      <c r="E12" s="3" t="s">
        <v>20</v>
      </c>
      <c r="F12" s="6" t="s">
        <v>223</v>
      </c>
      <c r="G12" s="10" t="s">
        <v>221</v>
      </c>
      <c r="H12" s="82" t="s">
        <v>222</v>
      </c>
      <c r="I12" s="3">
        <v>142536746</v>
      </c>
      <c r="J12" s="3" t="s">
        <v>21</v>
      </c>
      <c r="K12" s="3" t="s">
        <v>24</v>
      </c>
      <c r="L12" s="11" t="s">
        <v>109</v>
      </c>
      <c r="M12" s="67"/>
      <c r="N12" s="67"/>
      <c r="O12" s="50"/>
    </row>
    <row r="13" spans="2:15" x14ac:dyDescent="0.3">
      <c r="B13" s="52"/>
      <c r="C13" s="3" t="s">
        <v>42</v>
      </c>
      <c r="D13" s="3" t="s">
        <v>16</v>
      </c>
      <c r="E13" s="3" t="s">
        <v>30</v>
      </c>
      <c r="F13" s="6" t="s">
        <v>224</v>
      </c>
      <c r="G13" s="10" t="s">
        <v>225</v>
      </c>
      <c r="H13" s="3" t="s">
        <v>226</v>
      </c>
      <c r="I13" s="3">
        <v>142536745</v>
      </c>
      <c r="J13" s="3" t="s">
        <v>31</v>
      </c>
      <c r="K13" s="3" t="s">
        <v>23</v>
      </c>
      <c r="L13" s="11" t="s">
        <v>110</v>
      </c>
      <c r="M13" s="67"/>
      <c r="N13" s="67"/>
      <c r="O13" s="50"/>
    </row>
    <row r="14" spans="2:15" x14ac:dyDescent="0.3">
      <c r="B14" s="52"/>
      <c r="C14" s="3" t="s">
        <v>40</v>
      </c>
      <c r="D14" s="3" t="s">
        <v>16</v>
      </c>
      <c r="E14" s="3" t="s">
        <v>36</v>
      </c>
      <c r="F14" s="6" t="s">
        <v>227</v>
      </c>
      <c r="G14" s="10" t="s">
        <v>229</v>
      </c>
      <c r="H14" s="3" t="s">
        <v>228</v>
      </c>
      <c r="I14" s="3">
        <v>142536744</v>
      </c>
      <c r="J14" s="3" t="s">
        <v>37</v>
      </c>
      <c r="K14" s="3" t="s">
        <v>23</v>
      </c>
      <c r="L14" s="11" t="s">
        <v>111</v>
      </c>
      <c r="M14" s="67"/>
      <c r="N14" s="67"/>
      <c r="O14" s="50"/>
    </row>
    <row r="15" spans="2:15" x14ac:dyDescent="0.3">
      <c r="B15" s="52"/>
      <c r="C15" s="3" t="s">
        <v>41</v>
      </c>
      <c r="D15" s="3" t="s">
        <v>16</v>
      </c>
      <c r="E15" s="3" t="s">
        <v>39</v>
      </c>
      <c r="F15" s="6" t="s">
        <v>211</v>
      </c>
      <c r="G15" s="10" t="s">
        <v>210</v>
      </c>
      <c r="H15" s="3" t="s">
        <v>230</v>
      </c>
      <c r="I15" s="3">
        <v>142536743</v>
      </c>
      <c r="J15" s="3" t="s">
        <v>38</v>
      </c>
      <c r="K15" s="3" t="s">
        <v>23</v>
      </c>
      <c r="L15" s="11" t="s">
        <v>112</v>
      </c>
      <c r="M15" s="67"/>
      <c r="N15" s="67"/>
      <c r="O15" s="50"/>
    </row>
    <row r="16" spans="2:15" x14ac:dyDescent="0.3">
      <c r="B16" s="52"/>
      <c r="C16" s="3"/>
      <c r="D16" s="3" t="s">
        <v>16</v>
      </c>
      <c r="E16" s="3" t="s">
        <v>102</v>
      </c>
      <c r="F16" s="6" t="s">
        <v>233</v>
      </c>
      <c r="G16" s="46" t="s">
        <v>231</v>
      </c>
      <c r="H16" s="3" t="s">
        <v>232</v>
      </c>
      <c r="I16" s="3">
        <v>142536742</v>
      </c>
      <c r="J16" s="3" t="s">
        <v>103</v>
      </c>
      <c r="K16" s="3" t="s">
        <v>23</v>
      </c>
      <c r="L16" s="11" t="s">
        <v>113</v>
      </c>
      <c r="M16" s="67"/>
      <c r="N16" s="67"/>
      <c r="O16" s="50"/>
    </row>
    <row r="17" spans="2:15" x14ac:dyDescent="0.3">
      <c r="B17" s="52"/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50"/>
    </row>
    <row r="18" spans="2:15" x14ac:dyDescent="0.3">
      <c r="B18" s="52"/>
      <c r="C18" s="63" t="s">
        <v>200</v>
      </c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50"/>
    </row>
    <row r="19" spans="2:15" x14ac:dyDescent="0.3">
      <c r="B19" s="52"/>
      <c r="C19" s="3" t="s">
        <v>42</v>
      </c>
      <c r="D19" s="3" t="s">
        <v>88</v>
      </c>
      <c r="E19" s="3" t="s">
        <v>63</v>
      </c>
      <c r="F19" s="6">
        <v>20260001</v>
      </c>
      <c r="G19" s="10" t="s">
        <v>89</v>
      </c>
      <c r="H19" s="3" t="s">
        <v>234</v>
      </c>
      <c r="I19" s="3">
        <v>258963147</v>
      </c>
      <c r="J19" s="3" t="s">
        <v>64</v>
      </c>
      <c r="K19" s="3" t="s">
        <v>23</v>
      </c>
      <c r="L19" s="11" t="s">
        <v>114</v>
      </c>
      <c r="M19" s="67" t="s">
        <v>101</v>
      </c>
      <c r="N19" s="67"/>
      <c r="O19" s="50"/>
    </row>
    <row r="20" spans="2:15" x14ac:dyDescent="0.3">
      <c r="B20" s="52"/>
      <c r="C20" s="3" t="s">
        <v>42</v>
      </c>
      <c r="D20" s="3" t="s">
        <v>88</v>
      </c>
      <c r="E20" s="3" t="s">
        <v>65</v>
      </c>
      <c r="F20" s="6">
        <v>20260002</v>
      </c>
      <c r="G20" s="10" t="s">
        <v>90</v>
      </c>
      <c r="H20" s="3" t="s">
        <v>235</v>
      </c>
      <c r="I20" s="3">
        <v>233654789</v>
      </c>
      <c r="J20" s="3" t="s">
        <v>66</v>
      </c>
      <c r="K20" s="3" t="s">
        <v>23</v>
      </c>
      <c r="L20" s="11" t="s">
        <v>115</v>
      </c>
      <c r="M20" s="67"/>
      <c r="N20" s="67"/>
      <c r="O20" s="50"/>
    </row>
    <row r="21" spans="2:15" x14ac:dyDescent="0.3">
      <c r="B21" s="52"/>
      <c r="C21" s="3" t="s">
        <v>42</v>
      </c>
      <c r="D21" s="12" t="s">
        <v>88</v>
      </c>
      <c r="E21" s="12" t="s">
        <v>67</v>
      </c>
      <c r="F21" s="25">
        <v>20260003</v>
      </c>
      <c r="G21" s="13" t="s">
        <v>91</v>
      </c>
      <c r="H21" s="12" t="s">
        <v>236</v>
      </c>
      <c r="I21" s="12">
        <v>241536789</v>
      </c>
      <c r="J21" s="12" t="s">
        <v>21</v>
      </c>
      <c r="K21" s="12" t="s">
        <v>23</v>
      </c>
      <c r="L21" s="14" t="s">
        <v>116</v>
      </c>
      <c r="M21" s="67"/>
      <c r="N21" s="67"/>
      <c r="O21" s="50"/>
    </row>
    <row r="22" spans="2:15" x14ac:dyDescent="0.3">
      <c r="B22" s="52"/>
      <c r="C22" s="3" t="s">
        <v>42</v>
      </c>
      <c r="D22" s="15" t="s">
        <v>88</v>
      </c>
      <c r="E22" s="15" t="s">
        <v>68</v>
      </c>
      <c r="F22" s="26">
        <v>20260004</v>
      </c>
      <c r="G22" s="16" t="s">
        <v>92</v>
      </c>
      <c r="H22" s="15" t="s">
        <v>237</v>
      </c>
      <c r="I22" s="15">
        <v>259874123</v>
      </c>
      <c r="J22" s="15" t="s">
        <v>69</v>
      </c>
      <c r="K22" s="15" t="s">
        <v>23</v>
      </c>
      <c r="L22" s="17" t="s">
        <v>117</v>
      </c>
      <c r="M22" s="67"/>
      <c r="N22" s="67"/>
      <c r="O22" s="50"/>
    </row>
    <row r="23" spans="2:15" x14ac:dyDescent="0.3">
      <c r="B23" s="52"/>
      <c r="C23" s="3" t="s">
        <v>42</v>
      </c>
      <c r="D23" s="18" t="s">
        <v>88</v>
      </c>
      <c r="E23" s="18" t="s">
        <v>70</v>
      </c>
      <c r="F23" s="27">
        <v>20260005</v>
      </c>
      <c r="G23" s="19" t="s">
        <v>93</v>
      </c>
      <c r="H23" s="20" t="s">
        <v>240</v>
      </c>
      <c r="I23" s="18">
        <v>210456789</v>
      </c>
      <c r="J23" s="18" t="s">
        <v>22</v>
      </c>
      <c r="K23" s="18" t="s">
        <v>23</v>
      </c>
      <c r="L23" s="21" t="s">
        <v>118</v>
      </c>
      <c r="M23" s="67"/>
      <c r="N23" s="67"/>
      <c r="O23" s="50"/>
    </row>
    <row r="24" spans="2:15" x14ac:dyDescent="0.3">
      <c r="B24" s="52"/>
      <c r="C24" s="22" t="s">
        <v>40</v>
      </c>
      <c r="D24" s="22" t="s">
        <v>88</v>
      </c>
      <c r="E24" s="22" t="s">
        <v>71</v>
      </c>
      <c r="F24" s="28">
        <v>20260006</v>
      </c>
      <c r="G24" s="10" t="s">
        <v>94</v>
      </c>
      <c r="H24" s="23" t="s">
        <v>238</v>
      </c>
      <c r="I24" s="22">
        <v>225147896</v>
      </c>
      <c r="J24" s="22" t="s">
        <v>72</v>
      </c>
      <c r="K24" s="22" t="s">
        <v>203</v>
      </c>
      <c r="L24" s="36" t="s">
        <v>119</v>
      </c>
      <c r="M24" s="67"/>
      <c r="N24" s="67"/>
      <c r="O24" s="50"/>
    </row>
    <row r="25" spans="2:15" x14ac:dyDescent="0.3">
      <c r="B25" s="52"/>
      <c r="C25" s="22" t="s">
        <v>40</v>
      </c>
      <c r="D25" s="22" t="s">
        <v>88</v>
      </c>
      <c r="E25" s="22" t="s">
        <v>73</v>
      </c>
      <c r="F25" s="28">
        <v>20260007</v>
      </c>
      <c r="G25" s="10" t="s">
        <v>95</v>
      </c>
      <c r="H25" s="23" t="s">
        <v>239</v>
      </c>
      <c r="I25" s="22">
        <v>278963254</v>
      </c>
      <c r="J25" s="22" t="s">
        <v>18</v>
      </c>
      <c r="K25" s="22" t="s">
        <v>203</v>
      </c>
      <c r="L25" s="36" t="s">
        <v>212</v>
      </c>
      <c r="M25" s="67"/>
      <c r="N25" s="67"/>
      <c r="O25" s="50"/>
    </row>
    <row r="26" spans="2:15" x14ac:dyDescent="0.3">
      <c r="B26" s="52"/>
      <c r="C26" s="3"/>
      <c r="D26" s="3" t="s">
        <v>88</v>
      </c>
      <c r="E26" s="3" t="s">
        <v>74</v>
      </c>
      <c r="F26" s="6"/>
      <c r="G26" s="10"/>
      <c r="H26" s="24"/>
      <c r="I26" s="3">
        <v>244123654</v>
      </c>
      <c r="J26" s="3" t="s">
        <v>75</v>
      </c>
      <c r="K26" s="3"/>
      <c r="L26" s="11" t="s">
        <v>120</v>
      </c>
      <c r="M26" s="67"/>
      <c r="N26" s="67"/>
      <c r="O26" s="50"/>
    </row>
    <row r="27" spans="2:15" x14ac:dyDescent="0.3">
      <c r="B27" s="52"/>
      <c r="C27" s="3"/>
      <c r="D27" s="3" t="s">
        <v>88</v>
      </c>
      <c r="E27" s="3" t="s">
        <v>76</v>
      </c>
      <c r="F27" s="6"/>
      <c r="G27" s="10"/>
      <c r="H27" s="24"/>
      <c r="I27" s="3">
        <v>251478963</v>
      </c>
      <c r="J27" s="3" t="s">
        <v>77</v>
      </c>
      <c r="K27" s="3"/>
      <c r="L27" s="11" t="s">
        <v>121</v>
      </c>
      <c r="M27" s="67"/>
      <c r="N27" s="67"/>
      <c r="O27" s="50"/>
    </row>
    <row r="28" spans="2:15" x14ac:dyDescent="0.3">
      <c r="B28" s="52"/>
      <c r="C28" s="3"/>
      <c r="D28" s="3" t="s">
        <v>88</v>
      </c>
      <c r="E28" s="3" t="s">
        <v>78</v>
      </c>
      <c r="F28" s="6"/>
      <c r="G28" s="10"/>
      <c r="H28" s="24"/>
      <c r="I28" s="3">
        <v>266321458</v>
      </c>
      <c r="J28" s="3" t="s">
        <v>79</v>
      </c>
      <c r="K28" s="3"/>
      <c r="L28" s="11" t="s">
        <v>122</v>
      </c>
      <c r="M28" s="67"/>
      <c r="N28" s="67"/>
      <c r="O28" s="50"/>
    </row>
    <row r="29" spans="2:15" x14ac:dyDescent="0.3">
      <c r="B29" s="52"/>
      <c r="C29" s="3"/>
      <c r="D29" s="3" t="s">
        <v>88</v>
      </c>
      <c r="E29" s="3" t="s">
        <v>80</v>
      </c>
      <c r="F29" s="6"/>
      <c r="G29" s="3"/>
      <c r="H29" s="24"/>
      <c r="I29" s="3">
        <v>239852147</v>
      </c>
      <c r="J29" s="3" t="s">
        <v>81</v>
      </c>
      <c r="K29" s="3"/>
      <c r="L29" s="11" t="s">
        <v>123</v>
      </c>
      <c r="M29" s="67"/>
      <c r="N29" s="67"/>
      <c r="O29" s="50"/>
    </row>
    <row r="30" spans="2:15" x14ac:dyDescent="0.3">
      <c r="B30" s="52"/>
      <c r="C30" s="3"/>
      <c r="D30" s="3" t="s">
        <v>88</v>
      </c>
      <c r="E30" s="3" t="s">
        <v>82</v>
      </c>
      <c r="F30" s="6"/>
      <c r="G30" s="3"/>
      <c r="H30" s="24"/>
      <c r="I30" s="3">
        <v>288741256</v>
      </c>
      <c r="J30" s="3" t="s">
        <v>83</v>
      </c>
      <c r="K30" s="3"/>
      <c r="L30" s="11" t="s">
        <v>124</v>
      </c>
      <c r="M30" s="67"/>
      <c r="N30" s="67"/>
      <c r="O30" s="50"/>
    </row>
    <row r="31" spans="2:15" x14ac:dyDescent="0.3">
      <c r="B31" s="52"/>
      <c r="C31" s="3"/>
      <c r="D31" s="3" t="s">
        <v>88</v>
      </c>
      <c r="E31" s="3" t="s">
        <v>84</v>
      </c>
      <c r="F31" s="6"/>
      <c r="G31" s="3"/>
      <c r="H31" s="24"/>
      <c r="I31" s="3">
        <v>255698147</v>
      </c>
      <c r="J31" s="3" t="s">
        <v>85</v>
      </c>
      <c r="K31" s="3"/>
      <c r="L31" s="11" t="s">
        <v>125</v>
      </c>
      <c r="M31" s="67"/>
      <c r="N31" s="67"/>
      <c r="O31" s="50"/>
    </row>
    <row r="32" spans="2:15" x14ac:dyDescent="0.3">
      <c r="B32" s="52"/>
      <c r="C32" s="3"/>
      <c r="D32" s="3" t="s">
        <v>88</v>
      </c>
      <c r="E32" s="3" t="s">
        <v>86</v>
      </c>
      <c r="F32" s="6"/>
      <c r="G32" s="3"/>
      <c r="H32" s="3"/>
      <c r="I32" s="3">
        <v>242365147</v>
      </c>
      <c r="J32" s="3" t="s">
        <v>87</v>
      </c>
      <c r="K32" s="3"/>
      <c r="L32" s="11" t="s">
        <v>126</v>
      </c>
      <c r="M32" s="67"/>
      <c r="N32" s="67"/>
      <c r="O32" s="50"/>
    </row>
    <row r="33" spans="2:15" x14ac:dyDescent="0.3">
      <c r="B33" s="53"/>
      <c r="C33" s="64"/>
      <c r="D33" s="64"/>
      <c r="E33" s="64"/>
      <c r="F33" s="64"/>
      <c r="G33" s="64"/>
      <c r="H33" s="64"/>
      <c r="I33" s="64"/>
      <c r="J33" s="64"/>
      <c r="K33" s="64"/>
      <c r="L33" s="64"/>
      <c r="M33" s="64"/>
      <c r="N33" s="64"/>
      <c r="O33" s="51"/>
    </row>
  </sheetData>
  <mergeCells count="17">
    <mergeCell ref="B33:O33"/>
    <mergeCell ref="I7:J7"/>
    <mergeCell ref="I5:J5"/>
    <mergeCell ref="M10:N16"/>
    <mergeCell ref="M19:N32"/>
    <mergeCell ref="L5:N7"/>
    <mergeCell ref="I6:J6"/>
    <mergeCell ref="C18:N18"/>
    <mergeCell ref="C9:N9"/>
    <mergeCell ref="C5:C7"/>
    <mergeCell ref="F5:F7"/>
    <mergeCell ref="B2:O2"/>
    <mergeCell ref="O3:O32"/>
    <mergeCell ref="B3:B32"/>
    <mergeCell ref="C8:N8"/>
    <mergeCell ref="C17:N17"/>
    <mergeCell ref="C3:N3"/>
  </mergeCells>
  <hyperlinks>
    <hyperlink ref="G4" r:id="rId1" xr:uid="{90136737-50D8-4624-BF9F-7BB076958402}"/>
    <hyperlink ref="G5" r:id="rId2" xr:uid="{9B3EB29C-D4D1-4DE8-950C-D636533C4ACC}"/>
    <hyperlink ref="L5" r:id="rId3" xr:uid="{4CEB1E42-A151-45A2-9B0C-B4A90B4D0D5F}"/>
    <hyperlink ref="G20" r:id="rId4" xr:uid="{73FA2062-31DC-43F6-87BF-4CAD4118EDC0}"/>
    <hyperlink ref="G21" r:id="rId5" xr:uid="{1638B543-22A0-4123-BFF1-150CE5050E28}"/>
    <hyperlink ref="G22" r:id="rId6" xr:uid="{D691BEA8-794F-47A6-A4F5-E83DC2372430}"/>
    <hyperlink ref="G23" r:id="rId7" xr:uid="{10013824-D875-4ED4-BB1D-3CB1D985BC39}"/>
    <hyperlink ref="G24" r:id="rId8" xr:uid="{0ABFA8B0-714A-4556-B801-F31F8ACC5FCF}"/>
    <hyperlink ref="G25" r:id="rId9" xr:uid="{B7F3917F-0DF5-41C1-AA91-81F7691BF7EE}"/>
    <hyperlink ref="G6" r:id="rId10" xr:uid="{BCAA6600-DE24-422D-96D4-0791B494C9D2}"/>
    <hyperlink ref="G7" r:id="rId11" xr:uid="{EAF8ADB9-58E9-4CBC-AAD5-DA37B223DFD2}"/>
    <hyperlink ref="M10" r:id="rId12" xr:uid="{889087D1-E240-4465-90CC-97DF6ABEF439}"/>
    <hyperlink ref="M19" r:id="rId13" xr:uid="{6FC1A60E-B0CE-457F-BEEE-3AC36283B66B}"/>
    <hyperlink ref="G19" r:id="rId14" xr:uid="{19ED9BF7-712A-4DC1-8755-8EF0FCFF0B53}"/>
    <hyperlink ref="G10" r:id="rId15" xr:uid="{6A83FB18-5AFC-4808-9223-36DE7F856746}"/>
    <hyperlink ref="G11" r:id="rId16" xr:uid="{F189FF88-B0C7-41DA-9069-997A29D81085}"/>
    <hyperlink ref="G12" r:id="rId17" xr:uid="{A12A5870-CCA3-494F-B7E5-19C1B5759D91}"/>
    <hyperlink ref="G13" r:id="rId18" xr:uid="{0873C2BC-57F8-4B2F-98B0-44819F7126D2}"/>
    <hyperlink ref="G14" r:id="rId19" xr:uid="{1FE56E63-763E-4AB4-A0DE-6EE1C841581B}"/>
    <hyperlink ref="G15" r:id="rId20" xr:uid="{2C87F2FE-31DC-43C7-890C-23A02A930C8F}"/>
    <hyperlink ref="G16" r:id="rId21" xr:uid="{1666FE38-BBA2-4EA0-BFB9-23AD0FEC9DAB}"/>
  </hyperlinks>
  <pageMargins left="0.7" right="0.7" top="0.75" bottom="0.75" header="0.3" footer="0.3"/>
  <pageSetup paperSize="9" orientation="portrait" r:id="rId2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342F1-B6E7-460B-9E26-5A8DC1C1AFB6}">
  <dimension ref="B2:O37"/>
  <sheetViews>
    <sheetView topLeftCell="D1" zoomScaleNormal="100" workbookViewId="0">
      <selection activeCell="E32" sqref="E32"/>
    </sheetView>
  </sheetViews>
  <sheetFormatPr defaultRowHeight="14.4" x14ac:dyDescent="0.3"/>
  <cols>
    <col min="3" max="4" width="49.5546875" bestFit="1" customWidth="1"/>
    <col min="5" max="5" width="37.109375" bestFit="1" customWidth="1"/>
    <col min="6" max="6" width="4.44140625" style="1" bestFit="1" customWidth="1"/>
    <col min="7" max="7" width="16.21875" style="1" hidden="1" customWidth="1"/>
    <col min="8" max="8" width="9.33203125" bestFit="1" customWidth="1"/>
    <col min="9" max="9" width="10.109375" bestFit="1" customWidth="1"/>
    <col min="11" max="11" width="15.5546875" customWidth="1"/>
    <col min="12" max="12" width="4.5546875" bestFit="1" customWidth="1"/>
    <col min="13" max="13" width="16.21875" hidden="1" customWidth="1"/>
    <col min="14" max="14" width="8" bestFit="1" customWidth="1"/>
  </cols>
  <sheetData>
    <row r="2" spans="2:14" x14ac:dyDescent="0.3">
      <c r="B2" s="47"/>
      <c r="C2" s="48"/>
      <c r="D2" s="48"/>
      <c r="E2" s="48"/>
      <c r="F2" s="48"/>
      <c r="G2" s="48"/>
      <c r="H2" s="48"/>
      <c r="I2" s="48"/>
      <c r="J2" s="49"/>
    </row>
    <row r="3" spans="2:14" x14ac:dyDescent="0.3">
      <c r="B3" s="52"/>
      <c r="C3" s="30" t="s">
        <v>14</v>
      </c>
      <c r="D3" s="4" t="s">
        <v>13</v>
      </c>
      <c r="E3" s="30" t="s">
        <v>28</v>
      </c>
      <c r="F3" s="4" t="s">
        <v>29</v>
      </c>
      <c r="G3" s="4"/>
      <c r="H3" s="4" t="s">
        <v>16</v>
      </c>
      <c r="I3" s="4" t="s">
        <v>27</v>
      </c>
      <c r="J3" s="78"/>
      <c r="K3" s="59" t="s">
        <v>199</v>
      </c>
      <c r="L3" s="59"/>
      <c r="M3" s="59"/>
      <c r="N3" s="59"/>
    </row>
    <row r="4" spans="2:14" x14ac:dyDescent="0.3">
      <c r="B4" s="52"/>
      <c r="C4" s="30" t="s">
        <v>202</v>
      </c>
      <c r="D4" s="5" t="s">
        <v>201</v>
      </c>
      <c r="E4" s="3" t="s">
        <v>169</v>
      </c>
      <c r="F4" s="4" t="s">
        <v>25</v>
      </c>
      <c r="G4" s="3" t="s">
        <v>19</v>
      </c>
      <c r="H4" s="3" t="str">
        <f>VLOOKUP(G4,K$4:L$10,2,FALSE)</f>
        <v>PGQ</v>
      </c>
      <c r="I4" s="3">
        <v>2</v>
      </c>
      <c r="J4" s="50"/>
      <c r="K4" s="3" t="s">
        <v>17</v>
      </c>
      <c r="L4" s="6" t="s">
        <v>217</v>
      </c>
      <c r="M4" s="3"/>
      <c r="N4" s="35" t="s">
        <v>23</v>
      </c>
    </row>
    <row r="5" spans="2:14" x14ac:dyDescent="0.3">
      <c r="B5" s="52"/>
      <c r="C5" s="80"/>
      <c r="D5" s="80"/>
      <c r="E5" s="80"/>
      <c r="F5" s="80"/>
      <c r="G5" s="80"/>
      <c r="H5" s="80"/>
      <c r="I5" s="80"/>
      <c r="J5" s="50"/>
      <c r="K5" s="3" t="s">
        <v>19</v>
      </c>
      <c r="L5" s="6" t="s">
        <v>220</v>
      </c>
      <c r="M5" s="3"/>
      <c r="N5" s="3" t="s">
        <v>23</v>
      </c>
    </row>
    <row r="6" spans="2:14" x14ac:dyDescent="0.3">
      <c r="B6" s="52"/>
      <c r="C6" s="81" t="s">
        <v>205</v>
      </c>
      <c r="D6" s="56" t="s">
        <v>97</v>
      </c>
      <c r="E6" s="3" t="s">
        <v>170</v>
      </c>
      <c r="F6" s="56" t="s">
        <v>25</v>
      </c>
      <c r="G6" s="3" t="s">
        <v>19</v>
      </c>
      <c r="H6" s="3" t="str">
        <f>VLOOKUP(G6,K$4:L$10,2,FALSE)</f>
        <v>PGQ</v>
      </c>
      <c r="I6" s="3">
        <v>2</v>
      </c>
      <c r="J6" s="50"/>
      <c r="K6" s="3" t="s">
        <v>20</v>
      </c>
      <c r="L6" s="6" t="s">
        <v>223</v>
      </c>
      <c r="M6" s="3"/>
      <c r="N6" s="3" t="s">
        <v>24</v>
      </c>
    </row>
    <row r="7" spans="2:14" x14ac:dyDescent="0.3">
      <c r="B7" s="52"/>
      <c r="C7" s="81"/>
      <c r="D7" s="56"/>
      <c r="E7" s="3" t="s">
        <v>33</v>
      </c>
      <c r="F7" s="56"/>
      <c r="G7" s="3" t="s">
        <v>17</v>
      </c>
      <c r="H7" s="3" t="str">
        <f>VLOOKUP(G7,K$4:L$10,2,FALSE)</f>
        <v>PNQ</v>
      </c>
      <c r="I7" s="3">
        <v>1</v>
      </c>
      <c r="J7" s="50"/>
      <c r="K7" s="3" t="s">
        <v>30</v>
      </c>
      <c r="L7" s="6" t="s">
        <v>224</v>
      </c>
      <c r="M7" s="3"/>
      <c r="N7" s="3" t="s">
        <v>23</v>
      </c>
    </row>
    <row r="8" spans="2:14" x14ac:dyDescent="0.3">
      <c r="B8" s="52"/>
      <c r="C8" s="81"/>
      <c r="D8" s="56"/>
      <c r="E8" s="3" t="s">
        <v>99</v>
      </c>
      <c r="F8" s="56"/>
      <c r="G8" s="3" t="s">
        <v>17</v>
      </c>
      <c r="H8" s="3" t="str">
        <f>VLOOKUP(G8,K$4:L$10,2,FALSE)</f>
        <v>PNQ</v>
      </c>
      <c r="I8" s="3">
        <v>1</v>
      </c>
      <c r="J8" s="50"/>
      <c r="K8" s="3" t="s">
        <v>36</v>
      </c>
      <c r="L8" s="6" t="s">
        <v>227</v>
      </c>
      <c r="M8" s="3"/>
      <c r="N8" s="3" t="s">
        <v>23</v>
      </c>
    </row>
    <row r="9" spans="2:14" x14ac:dyDescent="0.3">
      <c r="B9" s="52"/>
      <c r="C9" s="81"/>
      <c r="D9" s="56"/>
      <c r="E9" s="54"/>
      <c r="F9" s="54"/>
      <c r="G9" s="54"/>
      <c r="H9" s="54"/>
      <c r="I9" s="54"/>
      <c r="J9" s="50"/>
      <c r="K9" s="3" t="s">
        <v>39</v>
      </c>
      <c r="L9" s="6" t="s">
        <v>211</v>
      </c>
      <c r="M9" s="3"/>
      <c r="N9" s="3" t="s">
        <v>23</v>
      </c>
    </row>
    <row r="10" spans="2:14" x14ac:dyDescent="0.3">
      <c r="B10" s="52"/>
      <c r="C10" s="81"/>
      <c r="D10" s="56"/>
      <c r="E10" s="3" t="s">
        <v>171</v>
      </c>
      <c r="F10" s="56" t="s">
        <v>26</v>
      </c>
      <c r="G10" s="3" t="s">
        <v>19</v>
      </c>
      <c r="H10" s="3" t="str">
        <f>VLOOKUP(G10,K$4:L$10,2,FALSE)</f>
        <v>PGQ</v>
      </c>
      <c r="I10" s="3">
        <v>2</v>
      </c>
      <c r="J10" s="50"/>
      <c r="K10" s="3" t="s">
        <v>102</v>
      </c>
      <c r="L10" s="6" t="s">
        <v>233</v>
      </c>
      <c r="M10" s="3"/>
      <c r="N10" s="3" t="s">
        <v>23</v>
      </c>
    </row>
    <row r="11" spans="2:14" x14ac:dyDescent="0.3">
      <c r="B11" s="52"/>
      <c r="C11" s="81"/>
      <c r="D11" s="56"/>
      <c r="E11" s="3" t="s">
        <v>32</v>
      </c>
      <c r="F11" s="56"/>
      <c r="G11" s="3" t="s">
        <v>30</v>
      </c>
      <c r="H11" s="3" t="str">
        <f>VLOOKUP(G11,K$4:L$10,2,FALSE)</f>
        <v>PWC</v>
      </c>
      <c r="I11" s="3">
        <v>1</v>
      </c>
      <c r="J11" s="50"/>
    </row>
    <row r="12" spans="2:14" x14ac:dyDescent="0.3">
      <c r="B12" s="52"/>
      <c r="C12" s="81"/>
      <c r="D12" s="56"/>
      <c r="E12" s="54"/>
      <c r="F12" s="54"/>
      <c r="G12" s="54"/>
      <c r="H12" s="54"/>
      <c r="I12" s="54"/>
      <c r="J12" s="50"/>
    </row>
    <row r="13" spans="2:14" x14ac:dyDescent="0.3">
      <c r="B13" s="52"/>
      <c r="C13" s="81"/>
      <c r="D13" s="56"/>
      <c r="E13" s="3" t="s">
        <v>34</v>
      </c>
      <c r="F13" s="4" t="s">
        <v>35</v>
      </c>
      <c r="G13" s="3" t="s">
        <v>30</v>
      </c>
      <c r="H13" s="3" t="str">
        <f>VLOOKUP(G13,K$4:L$10,2,FALSE)</f>
        <v>PWC</v>
      </c>
      <c r="I13" s="3">
        <v>1</v>
      </c>
      <c r="J13" s="50"/>
    </row>
    <row r="14" spans="2:14" x14ac:dyDescent="0.3">
      <c r="B14" s="52"/>
      <c r="C14" s="81"/>
      <c r="D14" s="55"/>
      <c r="E14" s="55"/>
      <c r="F14" s="55"/>
      <c r="G14" s="55"/>
      <c r="H14" s="55"/>
      <c r="I14" s="55"/>
      <c r="J14" s="50"/>
    </row>
    <row r="15" spans="2:14" x14ac:dyDescent="0.3">
      <c r="B15" s="52"/>
      <c r="C15" s="81"/>
      <c r="D15" s="56" t="s">
        <v>173</v>
      </c>
      <c r="E15" s="29" t="s">
        <v>170</v>
      </c>
      <c r="F15" s="4" t="s">
        <v>25</v>
      </c>
      <c r="G15" s="3" t="s">
        <v>19</v>
      </c>
      <c r="H15" s="3" t="str">
        <f>VLOOKUP(G15,K$4:L$10,2,FALSE)</f>
        <v>PGQ</v>
      </c>
      <c r="I15" s="3">
        <v>2</v>
      </c>
      <c r="J15" s="50"/>
    </row>
    <row r="16" spans="2:14" x14ac:dyDescent="0.3">
      <c r="B16" s="52"/>
      <c r="C16" s="81"/>
      <c r="D16" s="56"/>
      <c r="E16" s="54"/>
      <c r="F16" s="54"/>
      <c r="G16" s="54"/>
      <c r="H16" s="54"/>
      <c r="I16" s="54"/>
      <c r="J16" s="50"/>
    </row>
    <row r="17" spans="2:15" x14ac:dyDescent="0.3">
      <c r="B17" s="52"/>
      <c r="C17" s="81"/>
      <c r="D17" s="56"/>
      <c r="E17" s="29" t="s">
        <v>171</v>
      </c>
      <c r="F17" s="56" t="s">
        <v>26</v>
      </c>
      <c r="G17" s="3" t="s">
        <v>19</v>
      </c>
      <c r="H17" s="3" t="str">
        <f>VLOOKUP(G17,K$4:L$10,2,FALSE)</f>
        <v>PGQ</v>
      </c>
      <c r="I17" s="3">
        <v>2</v>
      </c>
      <c r="J17" s="50"/>
    </row>
    <row r="18" spans="2:15" x14ac:dyDescent="0.3">
      <c r="B18" s="52"/>
      <c r="C18" s="81"/>
      <c r="D18" s="56"/>
      <c r="E18" s="3" t="s">
        <v>172</v>
      </c>
      <c r="F18" s="56"/>
      <c r="G18" s="3" t="s">
        <v>36</v>
      </c>
      <c r="H18" s="3" t="str">
        <f>VLOOKUP(G18,K$4:L$10,2,FALSE)</f>
        <v>PSG</v>
      </c>
      <c r="I18" s="3">
        <v>1</v>
      </c>
      <c r="J18" s="50"/>
    </row>
    <row r="19" spans="2:15" x14ac:dyDescent="0.3">
      <c r="B19" s="52"/>
      <c r="C19" s="81"/>
      <c r="D19" s="56"/>
      <c r="E19" s="54"/>
      <c r="F19" s="54"/>
      <c r="G19" s="54"/>
      <c r="H19" s="54"/>
      <c r="I19" s="54"/>
      <c r="J19" s="50"/>
    </row>
    <row r="20" spans="2:15" x14ac:dyDescent="0.3">
      <c r="B20" s="52"/>
      <c r="C20" s="81"/>
      <c r="D20" s="56"/>
      <c r="E20" s="3" t="s">
        <v>176</v>
      </c>
      <c r="F20" s="4" t="s">
        <v>35</v>
      </c>
      <c r="G20" s="3" t="s">
        <v>36</v>
      </c>
      <c r="H20" s="3" t="str">
        <f>VLOOKUP(G20,K$4:L$10,2,FALSE)</f>
        <v>PSG</v>
      </c>
      <c r="I20" s="3">
        <v>1</v>
      </c>
      <c r="J20" s="50"/>
    </row>
    <row r="21" spans="2:15" x14ac:dyDescent="0.3">
      <c r="B21" s="52"/>
      <c r="C21" s="81"/>
      <c r="D21" s="55"/>
      <c r="E21" s="55"/>
      <c r="F21" s="55"/>
      <c r="G21" s="55"/>
      <c r="H21" s="55"/>
      <c r="I21" s="55"/>
      <c r="J21" s="50"/>
    </row>
    <row r="22" spans="2:15" x14ac:dyDescent="0.3">
      <c r="B22" s="52"/>
      <c r="C22" s="81"/>
      <c r="D22" s="56" t="s">
        <v>174</v>
      </c>
      <c r="E22" s="29" t="s">
        <v>170</v>
      </c>
      <c r="F22" s="56" t="s">
        <v>25</v>
      </c>
      <c r="G22" s="3" t="s">
        <v>19</v>
      </c>
      <c r="H22" s="3" t="str">
        <f>VLOOKUP(G22,K$4:L$10,2,FALSE)</f>
        <v>PGQ</v>
      </c>
      <c r="I22" s="3">
        <v>2</v>
      </c>
      <c r="J22" s="50"/>
    </row>
    <row r="23" spans="2:15" x14ac:dyDescent="0.3">
      <c r="B23" s="52"/>
      <c r="C23" s="81"/>
      <c r="D23" s="56"/>
      <c r="E23" s="3" t="s">
        <v>104</v>
      </c>
      <c r="F23" s="56"/>
      <c r="G23" s="3" t="s">
        <v>39</v>
      </c>
      <c r="H23" s="3" t="str">
        <f>VLOOKUP(G23,K$4:L$10,2,FALSE)</f>
        <v>PBE</v>
      </c>
      <c r="I23" s="3">
        <v>1</v>
      </c>
      <c r="J23" s="50"/>
    </row>
    <row r="24" spans="2:15" x14ac:dyDescent="0.3">
      <c r="B24" s="52"/>
      <c r="C24" s="81"/>
      <c r="D24" s="56"/>
      <c r="E24" s="3" t="s">
        <v>43</v>
      </c>
      <c r="F24" s="56"/>
      <c r="G24" s="3" t="s">
        <v>39</v>
      </c>
      <c r="H24" s="3" t="str">
        <f>VLOOKUP(G24,K$4:L$10,2,FALSE)</f>
        <v>PBE</v>
      </c>
      <c r="I24" s="3">
        <v>1</v>
      </c>
      <c r="J24" s="50"/>
    </row>
    <row r="25" spans="2:15" x14ac:dyDescent="0.3">
      <c r="B25" s="52"/>
      <c r="C25" s="81"/>
      <c r="D25" s="56"/>
      <c r="E25" s="3" t="s">
        <v>177</v>
      </c>
      <c r="F25" s="56"/>
      <c r="G25" s="3" t="s">
        <v>39</v>
      </c>
      <c r="H25" s="3" t="str">
        <f>VLOOKUP(G25,K$4:L$10,2,FALSE)</f>
        <v>PBE</v>
      </c>
      <c r="I25" s="3">
        <v>1</v>
      </c>
      <c r="J25" s="50"/>
    </row>
    <row r="26" spans="2:15" x14ac:dyDescent="0.3">
      <c r="B26" s="52"/>
      <c r="C26" s="81"/>
      <c r="D26" s="56"/>
      <c r="E26" s="3" t="s">
        <v>44</v>
      </c>
      <c r="F26" s="56"/>
      <c r="G26" s="3" t="s">
        <v>39</v>
      </c>
      <c r="H26" s="3" t="str">
        <f>VLOOKUP(G26,K$4:L$10,2,FALSE)</f>
        <v>PBE</v>
      </c>
      <c r="I26" s="3">
        <v>1</v>
      </c>
      <c r="J26" s="50"/>
    </row>
    <row r="27" spans="2:15" x14ac:dyDescent="0.3">
      <c r="B27" s="52"/>
      <c r="C27" s="81"/>
      <c r="D27" s="56"/>
      <c r="E27" s="54"/>
      <c r="F27" s="54"/>
      <c r="G27" s="54"/>
      <c r="H27" s="54"/>
      <c r="I27" s="54"/>
      <c r="J27" s="50"/>
    </row>
    <row r="28" spans="2:15" x14ac:dyDescent="0.3">
      <c r="B28" s="52"/>
      <c r="C28" s="81"/>
      <c r="D28" s="56"/>
      <c r="E28" s="3" t="s">
        <v>105</v>
      </c>
      <c r="F28" s="4" t="s">
        <v>26</v>
      </c>
      <c r="G28" s="3" t="s">
        <v>39</v>
      </c>
      <c r="H28" s="3" t="str">
        <f>VLOOKUP(G28,K$4:L$10,2,FALSE)</f>
        <v>PBE</v>
      </c>
      <c r="I28" s="3">
        <v>1</v>
      </c>
      <c r="J28" s="50"/>
    </row>
    <row r="29" spans="2:15" x14ac:dyDescent="0.3">
      <c r="B29" s="52"/>
      <c r="C29" s="81"/>
      <c r="D29" s="56"/>
      <c r="E29" s="54"/>
      <c r="F29" s="54"/>
      <c r="G29" s="54"/>
      <c r="H29" s="54"/>
      <c r="I29" s="54"/>
      <c r="J29" s="50"/>
    </row>
    <row r="30" spans="2:15" x14ac:dyDescent="0.3">
      <c r="B30" s="52"/>
      <c r="C30" s="81"/>
      <c r="D30" s="56"/>
      <c r="E30" s="3"/>
      <c r="F30" s="4" t="s">
        <v>35</v>
      </c>
      <c r="G30" s="4"/>
      <c r="H30" s="3"/>
      <c r="I30" s="3"/>
      <c r="J30" s="50"/>
      <c r="K30" s="31" t="s">
        <v>96</v>
      </c>
      <c r="L30" s="32" t="s">
        <v>35</v>
      </c>
      <c r="M30" s="32" t="s">
        <v>39</v>
      </c>
      <c r="N30" s="3" t="str">
        <f>VLOOKUP(M30,K$4:N$10,2,FALSE)</f>
        <v>PBE</v>
      </c>
      <c r="O30" s="31">
        <v>1</v>
      </c>
    </row>
    <row r="31" spans="2:15" x14ac:dyDescent="0.3">
      <c r="B31" s="52"/>
      <c r="C31" s="81"/>
      <c r="D31" s="55"/>
      <c r="E31" s="55"/>
      <c r="F31" s="55"/>
      <c r="G31" s="55"/>
      <c r="H31" s="55"/>
      <c r="I31" s="55"/>
      <c r="J31" s="50"/>
    </row>
    <row r="32" spans="2:15" x14ac:dyDescent="0.3">
      <c r="B32" s="52"/>
      <c r="C32" s="81"/>
      <c r="D32" s="4" t="s">
        <v>98</v>
      </c>
      <c r="E32" s="3" t="s">
        <v>208</v>
      </c>
      <c r="F32" s="4" t="s">
        <v>25</v>
      </c>
      <c r="G32" s="3" t="s">
        <v>20</v>
      </c>
      <c r="H32" s="3" t="str">
        <f>VLOOKUP(G32,K$4:L$10,2,FALSE)</f>
        <v>PXC</v>
      </c>
      <c r="I32" s="3">
        <v>3</v>
      </c>
      <c r="J32" s="50"/>
    </row>
    <row r="33" spans="2:10" x14ac:dyDescent="0.3">
      <c r="B33" s="52"/>
      <c r="C33" s="79"/>
      <c r="D33" s="79"/>
      <c r="E33" s="79"/>
      <c r="F33" s="79"/>
      <c r="G33" s="79"/>
      <c r="H33" s="79"/>
      <c r="I33" s="79"/>
      <c r="J33" s="50"/>
    </row>
    <row r="34" spans="2:10" x14ac:dyDescent="0.3">
      <c r="B34" s="52"/>
      <c r="C34" s="37" t="s">
        <v>206</v>
      </c>
      <c r="D34" s="38" t="s">
        <v>175</v>
      </c>
      <c r="E34" s="39"/>
      <c r="F34" s="38"/>
      <c r="G34" s="38"/>
      <c r="H34" s="39"/>
      <c r="I34" s="39"/>
      <c r="J34" s="50"/>
    </row>
    <row r="35" spans="2:10" x14ac:dyDescent="0.3">
      <c r="B35" s="42"/>
      <c r="C35" s="43"/>
      <c r="D35" s="44"/>
      <c r="E35" s="44"/>
      <c r="F35" s="44"/>
      <c r="G35" s="44"/>
      <c r="H35" s="44"/>
      <c r="I35" s="45"/>
      <c r="J35" s="42"/>
    </row>
    <row r="36" spans="2:10" x14ac:dyDescent="0.3">
      <c r="B36" s="34"/>
      <c r="C36" s="40" t="s">
        <v>209</v>
      </c>
      <c r="D36" s="41"/>
      <c r="E36" s="35"/>
      <c r="F36" s="41"/>
      <c r="G36" s="41"/>
      <c r="H36" s="35"/>
      <c r="I36" s="35"/>
      <c r="J36" s="33"/>
    </row>
    <row r="37" spans="2:10" x14ac:dyDescent="0.3">
      <c r="B37" s="53"/>
      <c r="C37" s="64"/>
      <c r="D37" s="64"/>
      <c r="E37" s="64"/>
      <c r="F37" s="64"/>
      <c r="G37" s="64"/>
      <c r="H37" s="64"/>
      <c r="I37" s="64"/>
      <c r="J37" s="51"/>
    </row>
  </sheetData>
  <mergeCells count="24">
    <mergeCell ref="C6:C32"/>
    <mergeCell ref="E27:I27"/>
    <mergeCell ref="E29:I29"/>
    <mergeCell ref="E9:I9"/>
    <mergeCell ref="E12:I12"/>
    <mergeCell ref="D6:D13"/>
    <mergeCell ref="D15:D20"/>
    <mergeCell ref="D22:D30"/>
    <mergeCell ref="K3:N3"/>
    <mergeCell ref="B2:J2"/>
    <mergeCell ref="B37:J37"/>
    <mergeCell ref="B3:B34"/>
    <mergeCell ref="J3:J34"/>
    <mergeCell ref="C33:I33"/>
    <mergeCell ref="D31:I31"/>
    <mergeCell ref="F6:F8"/>
    <mergeCell ref="F10:F11"/>
    <mergeCell ref="F17:F18"/>
    <mergeCell ref="F22:F26"/>
    <mergeCell ref="E19:I19"/>
    <mergeCell ref="E16:I16"/>
    <mergeCell ref="C5:I5"/>
    <mergeCell ref="D14:I14"/>
    <mergeCell ref="D21:I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Menus</vt:lpstr>
      <vt:lpstr>Utilizadores</vt:lpstr>
      <vt:lpstr>Escola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Pedro Morgado</cp:lastModifiedBy>
  <dcterms:created xsi:type="dcterms:W3CDTF">2026-04-15T14:21:09Z</dcterms:created>
  <dcterms:modified xsi:type="dcterms:W3CDTF">2026-05-17T22:19:59Z</dcterms:modified>
</cp:coreProperties>
</file>